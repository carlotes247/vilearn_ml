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Python_Projects\vilearn_ml\"/>
    </mc:Choice>
  </mc:AlternateContent>
  <xr:revisionPtr revIDLastSave="0" documentId="13_ncr:1_{94BA98F5-31E7-4F84-AC2D-035C11DCE959}" xr6:coauthVersionLast="47" xr6:coauthVersionMax="47" xr10:uidLastSave="{00000000-0000-0000-0000-000000000000}"/>
  <bookViews>
    <workbookView xWindow="-110" yWindow="-110" windowWidth="19420" windowHeight="12420" xr2:uid="{6D8F268B-5DD6-49E3-BA64-0A5DF4887827}"/>
  </bookViews>
  <sheets>
    <sheet name="results_ML_train_manual" sheetId="2" r:id="rId1"/>
    <sheet name="Sheet2" sheetId="5" r:id="rId2"/>
    <sheet name="results_ML_train_manual_Linear " sheetId="3" r:id="rId3"/>
    <sheet name="results_ML_train_SCALER__Baseli" sheetId="4" r:id="rId4"/>
    <sheet name="results_ML_train_manual_Lin (2)" sheetId="6" r:id="rId5"/>
    <sheet name="results_ML_train_manual_SVM Sim" sheetId="8" r:id="rId6"/>
    <sheet name="Sheet1" sheetId="1" r:id="rId7"/>
  </sheets>
  <definedNames>
    <definedName name="ExternalData_1" localSheetId="0" hidden="1">'results_ML_train_manual'!$A$1:$G$26</definedName>
    <definedName name="ExternalData_1" localSheetId="4" hidden="1">'results_ML_train_manual_Lin (2)'!$A$1:$G$7</definedName>
    <definedName name="ExternalData_1" localSheetId="2" hidden="1">'results_ML_train_manual_Linear '!$A$1:$G$7</definedName>
    <definedName name="ExternalData_1" localSheetId="5" hidden="1">'results_ML_train_manual_SVM Sim'!$A$1:$G$3</definedName>
    <definedName name="ExternalData_1" localSheetId="3" hidden="1">results_ML_train_SCALER__Baseli!$A$1:$G$6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6" i="2"/>
  <c r="H5" i="2"/>
  <c r="H4" i="2"/>
  <c r="H3" i="2"/>
  <c r="H2" i="2"/>
  <c r="H9" i="2"/>
  <c r="H10" i="2"/>
  <c r="H15" i="2"/>
  <c r="H16" i="2"/>
  <c r="H17" i="2"/>
  <c r="H18" i="2"/>
  <c r="H19" i="2"/>
  <c r="H8" i="2"/>
  <c r="H11" i="2"/>
  <c r="H12" i="2"/>
  <c r="H13" i="2"/>
  <c r="H14" i="2"/>
  <c r="H7" i="2"/>
  <c r="H23" i="2"/>
  <c r="H24" i="2"/>
  <c r="H21" i="2"/>
  <c r="H22" i="2"/>
  <c r="H20" i="2"/>
  <c r="H25" i="2"/>
  <c r="H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E1D11A-7F6B-4700-B4FD-895E94247EA1}" keepAlive="1" name="Query - results_ML_train_manual" description="Connection to the 'results_ML_train_manual' query in the workbook." type="5" refreshedVersion="8" background="1" saveData="1">
    <dbPr connection="Provider=Microsoft.Mashup.OleDb.1;Data Source=$Workbook$;Location=results_ML_train_manual;Extended Properties=&quot;&quot;" command="SELECT * FROM [results_ML_train_manual]"/>
  </connection>
  <connection id="2" xr16:uid="{F367BA8D-128C-4763-89DE-4F0B5F736AF5}" keepAlive="1" name="Query - results_ML_train_manual_Linear SVM l2" description="Connection to the 'results_ML_train_manual_Linear SVM l2' query in the workbook." type="5" refreshedVersion="8" background="1" saveData="1">
    <dbPr connection="Provider=Microsoft.Mashup.OleDb.1;Data Source=$Workbook$;Location=&quot;results_ML_train_manual_Linear SVM l2&quot;;Extended Properties=&quot;&quot;" command="SELECT * FROM [results_ML_train_manual_Linear SVM l2]"/>
  </connection>
  <connection id="3" xr16:uid="{0E159C8C-2F73-4D85-A080-414CF994F790}" keepAlive="1" name="Query - results_ML_train_manual_Linear SVM l2 (1)" description="Connection to the 'results_ML_train_manual_Linear SVM l2 (1)' query in the workbook." type="5" refreshedVersion="8" background="1" saveData="1">
    <dbPr connection="Provider=Microsoft.Mashup.OleDb.1;Data Source=$Workbook$;Location=&quot;results_ML_train_manual_Linear SVM l2 (1)&quot;;Extended Properties=&quot;&quot;" command="SELECT * FROM [results_ML_train_manual_Linear SVM l2 (1)]"/>
  </connection>
  <connection id="4" xr16:uid="{A8FB5BFC-D3D4-45B9-B213-7CDE369E9C8E}" keepAlive="1" name="Query - results_ML_train_manual_SVM Simple" description="Connection to the 'results_ML_train_manual_SVM Simple' query in the workbook." type="5" refreshedVersion="8" background="1" saveData="1">
    <dbPr connection="Provider=Microsoft.Mashup.OleDb.1;Data Source=$Workbook$;Location=&quot;results_ML_train_manual_SVM Simple&quot;;Extended Properties=&quot;&quot;" command="SELECT * FROM [results_ML_train_manual_SVM Simple]"/>
  </connection>
  <connection id="5" xr16:uid="{72E4F1EF-D41E-4688-8D35-41C64585D744}" keepAlive="1" name="Query - results_ML_train_SCALER__Baseline Stratified Strategy_Baseline Uniform Strategy_" description="Connection to the 'results_ML_train_SCALER__Baseline Stratified Strategy_Baseline Uniform Strategy_' query in the workbook." type="5" refreshedVersion="8" background="1" saveData="1">
    <dbPr connection="Provider=Microsoft.Mashup.OleDb.1;Data Source=$Workbook$;Location=&quot;results_ML_train_SCALER__Baseline Stratified Strategy_Baseline Uniform Strategy_&quot;;Extended Properties=&quot;&quot;" command="SELECT * FROM [results_ML_train_SCALER__Baseline Stratified Strategy_Baseline Uniform Strategy_]"/>
  </connection>
</connections>
</file>

<file path=xl/sharedStrings.xml><?xml version="1.0" encoding="utf-8"?>
<sst xmlns="http://schemas.openxmlformats.org/spreadsheetml/2006/main" count="214" uniqueCount="47">
  <si>
    <t>Column1</t>
  </si>
  <si>
    <t>Model</t>
  </si>
  <si>
    <t>Score</t>
  </si>
  <si>
    <t>CV</t>
  </si>
  <si>
    <t>Version</t>
  </si>
  <si>
    <t>Conf_Matrix</t>
  </si>
  <si>
    <t>Time</t>
  </si>
  <si>
    <t>Decision Tree</t>
  </si>
  <si>
    <t>Nested</t>
  </si>
  <si>
    <t>Simple_Manual</t>
  </si>
  <si>
    <t>[[ 7  4 13]
 [ 2 11 29]
 [18 26 76]]</t>
  </si>
  <si>
    <t>Scaler_Manual</t>
  </si>
  <si>
    <t>[[ 7  4 13]
 [ 3  8 31]
 [20 27 73]]</t>
  </si>
  <si>
    <t>Random Forest</t>
  </si>
  <si>
    <t>[[ 2  1 21]
 [ 3  7 32]
 [14 17 89]]</t>
  </si>
  <si>
    <t>[[ 2  1 21]
 [ 4  9 29]
 [13 17 90]]</t>
  </si>
  <si>
    <t>Neural Net</t>
  </si>
  <si>
    <t>[[  0   0  24]
 [  0   2  40]
 [  0  11 109]]</t>
  </si>
  <si>
    <t>[[  0   1  23]
 [  0   3  39]
 [  0   9 111]]</t>
  </si>
  <si>
    <t>AdaBoost</t>
  </si>
  <si>
    <t>[[  0   1  23]
 [  0   2  40]
 [  0   7 113]]</t>
  </si>
  <si>
    <t>Naive Bayes</t>
  </si>
  <si>
    <t>[[  0   0  24]
 [  0   0  42]
 [  0   2 118]]</t>
  </si>
  <si>
    <t>QDA</t>
  </si>
  <si>
    <t>[[  0   2  22]
 [  0   8  34]
 [  0  16 104]]</t>
  </si>
  <si>
    <t>Time (Mins)</t>
  </si>
  <si>
    <t>Time (Secs)</t>
  </si>
  <si>
    <t>Nearest Neighbors</t>
  </si>
  <si>
    <t>[[  0   0  24]
 [  0   3  39]
 [  1   5 114]]</t>
  </si>
  <si>
    <t>Linear SVM l1</t>
  </si>
  <si>
    <t>[[  0   1  23]
 [  0   0  42]
 [  0   0 120]]</t>
  </si>
  <si>
    <t>Linear SVM l2</t>
  </si>
  <si>
    <t>[[  0   0  24]
 [  0   0  42]
 [  0   1 119]]</t>
  </si>
  <si>
    <t>[[  1   0  23]
 [  6   0  36]
 [  9   1 110]]</t>
  </si>
  <si>
    <t>Total all models</t>
  </si>
  <si>
    <t>hours</t>
  </si>
  <si>
    <t>Baseline Most Frequent Strategy</t>
  </si>
  <si>
    <t>_Manual</t>
  </si>
  <si>
    <t>[[  0   0  24]
 [  0   0  42]
 [  0   0 120]]</t>
  </si>
  <si>
    <t>Baseline Prior Strategy</t>
  </si>
  <si>
    <t>Baseline Stratified Strategy</t>
  </si>
  <si>
    <t>[[ 0  3 21]
 [ 5  7 30]
 [21 27 72]]</t>
  </si>
  <si>
    <t>Baseline Uniform Strategy</t>
  </si>
  <si>
    <t>[[10  6  8]
 [15 14 13]
 [45 33 42]]</t>
  </si>
  <si>
    <t>Nearest Neighbors Test</t>
  </si>
  <si>
    <t>[[ 2  4 18]
 [ 4 15 23]
 [12 29 79]]</t>
  </si>
  <si>
    <t>SVM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</si>
</sst>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4">
    <dxf>
      <numFmt numFmtId="0" formatCode="General"/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07F16B-B59D-4686-BE4B-62E232AD287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D8C288-C91B-4A69-8510-C1EBE12CB9B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EE59A53-2743-439A-B3A8-53173EC1C90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62C0B54-E452-4F03-95E0-87FD0546098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C68ECF-93DF-40E2-839A-3A54BC81429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Model" tableColumnId="2"/>
      <queryTableField id="3" name="Score" tableColumnId="3"/>
      <queryTableField id="4" name="CV" tableColumnId="4"/>
      <queryTableField id="5" name="Version" tableColumnId="5"/>
      <queryTableField id="6" name="Conf_Matrix" tableColumnId="6"/>
      <queryTableField id="7" name="Ti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490CF-B852-44BB-B9C4-E67809109F25}" name="results_ML_train_manual" displayName="results_ML_train_manual" ref="A1:H26" tableType="queryTable" totalsRowShown="0">
  <autoFilter ref="A1:H26" xr:uid="{7AD490CF-B852-44BB-B9C4-E67809109F25}"/>
  <sortState xmlns:xlrd2="http://schemas.microsoft.com/office/spreadsheetml/2017/richdata2" ref="A2:H26">
    <sortCondition ref="A1:A26"/>
  </sortState>
  <tableColumns count="8">
    <tableColumn id="1" xr3:uid="{3DA66CBA-1A0B-41D2-9D6F-824B93E1F6E1}" uniqueName="1" name="Column1" queryTableFieldId="1"/>
    <tableColumn id="2" xr3:uid="{15CB2AEA-C26F-46FB-85D5-0B86525A9D0D}" uniqueName="2" name="Model" queryTableFieldId="2" dataDxfId="0"/>
    <tableColumn id="3" xr3:uid="{59CD3035-F881-4BC0-AEEB-4B29F2F36E32}" uniqueName="3" name="Score" queryTableFieldId="3" dataDxfId="1"/>
    <tableColumn id="4" xr3:uid="{76399A2A-5BE3-4DF3-AE9E-8ED6634D432E}" uniqueName="4" name="CV" queryTableFieldId="4" dataDxfId="23"/>
    <tableColumn id="5" xr3:uid="{C1D61276-C719-4EA3-B7E6-12CFB8C7A60F}" uniqueName="5" name="Version" queryTableFieldId="5" dataDxfId="22"/>
    <tableColumn id="6" xr3:uid="{F1E8BA40-3E0E-44FA-9329-54A3711E47A3}" uniqueName="6" name="Conf_Matrix" queryTableFieldId="6" dataDxfId="4"/>
    <tableColumn id="7" xr3:uid="{28FE8B01-BC87-49D5-BA86-510650A39A0B}" uniqueName="7" name="Time (Secs)" queryTableFieldId="7" dataDxfId="2"/>
    <tableColumn id="8" xr3:uid="{DC3F9DF6-F1A2-468F-993A-FC684EA01EBC}" uniqueName="8" name="Time (Mins)" queryTableFieldId="8" dataDxfId="3">
      <calculatedColumnFormula>results_ML_train_manual[[#This Row],[Time (Secs)]]/60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AB5E1-873E-4D0C-8357-4A1985671D07}" name="results_ML_train_manual_Linear_SVM_l2" displayName="results_ML_train_manual_Linear_SVM_l2" ref="A1:G7" tableType="queryTable" totalsRowShown="0">
  <autoFilter ref="A1:G7" xr:uid="{68DAB5E1-873E-4D0C-8357-4A1985671D07}"/>
  <tableColumns count="7">
    <tableColumn id="1" xr3:uid="{8408ACEC-8465-4865-A5D8-AF1BF548EA2B}" uniqueName="1" name="Column1" queryTableFieldId="1"/>
    <tableColumn id="2" xr3:uid="{C43BD499-7326-4517-AEBF-8D87E1E0B6EB}" uniqueName="2" name="Model" queryTableFieldId="2" dataDxfId="21"/>
    <tableColumn id="3" xr3:uid="{D5B68809-2757-458F-9862-95DED341B7A9}" uniqueName="3" name="Score" queryTableFieldId="3"/>
    <tableColumn id="4" xr3:uid="{60DBD02F-ACAA-4642-A85B-8DACB17F9EB9}" uniqueName="4" name="CV" queryTableFieldId="4" dataDxfId="20"/>
    <tableColumn id="5" xr3:uid="{9D625E20-2BD4-43EB-B9B2-A5470B2CD4E8}" uniqueName="5" name="Version" queryTableFieldId="5" dataDxfId="19"/>
    <tableColumn id="6" xr3:uid="{5ADDFB79-F582-437D-BF73-460ADA7A5D03}" uniqueName="6" name="Conf_Matrix" queryTableFieldId="6" dataDxfId="18"/>
    <tableColumn id="7" xr3:uid="{0F1BBD82-4546-485D-9F4B-97B0C4C26177}" uniqueName="7" name="Ti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00C0C3-C836-4091-BDAB-83B332B2DCBE}" name="results_ML_train_SCALER__Baseline_Stratified_Strategy_Baseline_Uniform_Strategy_" displayName="results_ML_train_SCALER__Baseline_Stratified_Strategy_Baseline_Uniform_Strategy_" ref="A1:G6" tableType="queryTable" totalsRowShown="0">
  <autoFilter ref="A1:G6" xr:uid="{C800C0C3-C836-4091-BDAB-83B332B2DCBE}"/>
  <tableColumns count="7">
    <tableColumn id="1" xr3:uid="{0E1DBA9C-5D37-4A2B-B453-2248C75040A2}" uniqueName="1" name="Column1" queryTableFieldId="1"/>
    <tableColumn id="2" xr3:uid="{769610FC-DFBA-4039-A915-8BFDF5B44891}" uniqueName="2" name="Model" queryTableFieldId="2" dataDxfId="15"/>
    <tableColumn id="3" xr3:uid="{108B3E19-5743-4D76-8B5F-36D77E7398FD}" uniqueName="3" name="Score" queryTableFieldId="3" dataDxfId="13"/>
    <tableColumn id="4" xr3:uid="{68154F5C-5D38-4E6E-B6BE-40EFFA709CEB}" uniqueName="4" name="CV" queryTableFieldId="4" dataDxfId="14"/>
    <tableColumn id="5" xr3:uid="{0DC06BCC-1E0A-4153-84D1-29A2117D9D38}" uniqueName="5" name="Version" queryTableFieldId="5" dataDxfId="17"/>
    <tableColumn id="6" xr3:uid="{D37034C2-2EE4-4423-9608-3C4AAEF3D821}" uniqueName="6" name="Conf_Matrix" queryTableFieldId="6" dataDxfId="16"/>
    <tableColumn id="7" xr3:uid="{D2919B3C-E185-4267-96EA-2270EE23F7A7}" uniqueName="7" name="Ti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53287A-14E0-4C6F-B6BA-3274A01EB990}" name="results_ML_train_manual_Linear_SVM_l2__1" displayName="results_ML_train_manual_Linear_SVM_l2__1" ref="A1:G7" tableType="queryTable" totalsRowShown="0">
  <autoFilter ref="A1:G7" xr:uid="{D753287A-14E0-4C6F-B6BA-3274A01EB990}"/>
  <tableColumns count="7">
    <tableColumn id="1" xr3:uid="{520D4EEF-37DB-4993-A731-81EF186B6DE3}" uniqueName="1" name="Column1" queryTableFieldId="1"/>
    <tableColumn id="2" xr3:uid="{859CC556-74D1-45A6-BB74-A88E734D6DDA}" uniqueName="2" name="Model" queryTableFieldId="2" dataDxfId="12"/>
    <tableColumn id="3" xr3:uid="{48CEE1F8-3F29-4028-A81F-52B6E035773A}" uniqueName="3" name="Score" queryTableFieldId="3"/>
    <tableColumn id="4" xr3:uid="{962C1433-053E-4BB3-99D2-874D55CF303C}" uniqueName="4" name="CV" queryTableFieldId="4" dataDxfId="11"/>
    <tableColumn id="5" xr3:uid="{A64AC60B-0951-444B-8DEF-DBB6EEEFC9DF}" uniqueName="5" name="Version" queryTableFieldId="5" dataDxfId="10"/>
    <tableColumn id="6" xr3:uid="{9EB009F5-A2D7-4437-A594-C8F6A3ECED4C}" uniqueName="6" name="Conf_Matrix" queryTableFieldId="6" dataDxfId="9"/>
    <tableColumn id="7" xr3:uid="{24619848-9C07-4093-8739-9E38F79C5D48}" uniqueName="7" name="Ti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8BB1AD-0943-4CE0-B8C3-B2CE74260D8D}" name="results_ML_train_manual_SVM_Simple" displayName="results_ML_train_manual_SVM_Simple" ref="A1:G3" tableType="queryTable" totalsRowShown="0">
  <autoFilter ref="A1:G3" xr:uid="{728BB1AD-0943-4CE0-B8C3-B2CE74260D8D}"/>
  <tableColumns count="7">
    <tableColumn id="1" xr3:uid="{F33A596A-6D13-494B-870A-89EBEF2C4AD2}" uniqueName="1" name="Column1" queryTableFieldId="1"/>
    <tableColumn id="2" xr3:uid="{DAD47238-D8FE-4857-8273-04D174F32CE2}" uniqueName="2" name="Model" queryTableFieldId="2" dataDxfId="8"/>
    <tableColumn id="3" xr3:uid="{D1F363B8-43B8-49A8-9023-2FAF062B3F6E}" uniqueName="3" name="Score" queryTableFieldId="3"/>
    <tableColumn id="4" xr3:uid="{7C0FBEE8-9DFE-41B0-9B7D-5A004732168D}" uniqueName="4" name="CV" queryTableFieldId="4" dataDxfId="7"/>
    <tableColumn id="5" xr3:uid="{0B19E8FB-AE17-4E47-9426-EEFA687086A8}" uniqueName="5" name="Version" queryTableFieldId="5" dataDxfId="6"/>
    <tableColumn id="6" xr3:uid="{F249DBD5-982A-4567-B7E8-05A1527EED3D}" uniqueName="6" name="Conf_Matrix" queryTableFieldId="6" dataDxfId="5"/>
    <tableColumn id="7" xr3:uid="{45CD5CAB-F30A-44CD-B6E8-FB9AF157A313}" uniqueName="7" name="Ti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8934-2EFE-4AB8-A4E2-37267C6A84DB}">
  <dimension ref="A1:I31"/>
  <sheetViews>
    <sheetView tabSelected="1" workbookViewId="0">
      <selection activeCell="C3" sqref="C3"/>
    </sheetView>
  </sheetViews>
  <sheetFormatPr defaultRowHeight="14.5" x14ac:dyDescent="0.35"/>
  <cols>
    <col min="1" max="1" width="10.7265625" bestFit="1" customWidth="1"/>
    <col min="2" max="2" width="24.81640625" customWidth="1"/>
    <col min="3" max="3" width="12.36328125" bestFit="1" customWidth="1"/>
    <col min="4" max="4" width="8.90625" customWidth="1"/>
    <col min="5" max="5" width="13.08984375" bestFit="1" customWidth="1"/>
    <col min="6" max="6" width="14.36328125" customWidth="1"/>
    <col min="7" max="7" width="13.6328125" customWidth="1"/>
    <col min="8" max="8" width="17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25</v>
      </c>
    </row>
    <row r="2" spans="1:8" ht="43.5" x14ac:dyDescent="0.35">
      <c r="A2">
        <v>0</v>
      </c>
      <c r="B2" s="3" t="s">
        <v>36</v>
      </c>
      <c r="C2" s="1">
        <v>0.63556360306360304</v>
      </c>
      <c r="D2" s="2" t="s">
        <v>8</v>
      </c>
      <c r="E2" s="2" t="s">
        <v>37</v>
      </c>
      <c r="F2" s="3" t="s">
        <v>38</v>
      </c>
      <c r="G2" s="1">
        <v>10</v>
      </c>
      <c r="H2" s="1">
        <f>results_ML_train_manual[[#This Row],[Time (Secs)]]/60</f>
        <v>0.16666666666666666</v>
      </c>
    </row>
    <row r="3" spans="1:8" ht="43.5" x14ac:dyDescent="0.35">
      <c r="A3">
        <v>1</v>
      </c>
      <c r="B3" s="3" t="s">
        <v>39</v>
      </c>
      <c r="C3" s="1">
        <v>0.63556360306360304</v>
      </c>
      <c r="D3" s="2" t="s">
        <v>8</v>
      </c>
      <c r="E3" s="2" t="s">
        <v>37</v>
      </c>
      <c r="F3" s="3" t="s">
        <v>38</v>
      </c>
      <c r="G3" s="1">
        <v>7.984375</v>
      </c>
      <c r="H3" s="1">
        <f>results_ML_train_manual[[#This Row],[Time (Secs)]]/60</f>
        <v>0.13307291666666668</v>
      </c>
    </row>
    <row r="4" spans="1:8" ht="43.5" x14ac:dyDescent="0.35">
      <c r="A4">
        <v>2</v>
      </c>
      <c r="B4" s="3" t="s">
        <v>40</v>
      </c>
      <c r="C4" s="1">
        <v>0.42004662004662008</v>
      </c>
      <c r="D4" s="2" t="s">
        <v>8</v>
      </c>
      <c r="E4" s="2" t="s">
        <v>37</v>
      </c>
      <c r="F4" s="3" t="s">
        <v>41</v>
      </c>
      <c r="G4" s="1">
        <v>10.734375</v>
      </c>
      <c r="H4" s="1">
        <f>results_ML_train_manual[[#This Row],[Time (Secs)]]/60</f>
        <v>0.17890624999999999</v>
      </c>
    </row>
    <row r="5" spans="1:8" ht="43.5" x14ac:dyDescent="0.35">
      <c r="A5">
        <v>3</v>
      </c>
      <c r="B5" s="3" t="s">
        <v>42</v>
      </c>
      <c r="C5" s="1">
        <v>0.34712218337218337</v>
      </c>
      <c r="D5" s="2" t="s">
        <v>8</v>
      </c>
      <c r="E5" s="2" t="s">
        <v>37</v>
      </c>
      <c r="F5" s="3" t="s">
        <v>43</v>
      </c>
      <c r="G5" s="1">
        <v>12.75</v>
      </c>
      <c r="H5" s="1">
        <f>results_ML_train_manual[[#This Row],[Time (Secs)]]/60</f>
        <v>0.21249999999999999</v>
      </c>
    </row>
    <row r="6" spans="1:8" ht="43.5" x14ac:dyDescent="0.35">
      <c r="A6">
        <v>4</v>
      </c>
      <c r="B6" s="3" t="s">
        <v>44</v>
      </c>
      <c r="C6" s="1">
        <v>0.52131340881340882</v>
      </c>
      <c r="D6" s="2" t="s">
        <v>8</v>
      </c>
      <c r="E6" s="2" t="s">
        <v>37</v>
      </c>
      <c r="F6" s="3" t="s">
        <v>45</v>
      </c>
      <c r="G6" s="1">
        <v>50.046875</v>
      </c>
      <c r="H6" s="1">
        <f>results_ML_train_manual[[#This Row],[Time (Secs)]]/60</f>
        <v>0.83411458333333333</v>
      </c>
    </row>
    <row r="7" spans="1:8" ht="43.5" x14ac:dyDescent="0.35">
      <c r="A7">
        <v>5</v>
      </c>
      <c r="B7" s="4" t="s">
        <v>27</v>
      </c>
      <c r="C7" s="1">
        <v>0.61966713841713839</v>
      </c>
      <c r="D7" t="s">
        <v>8</v>
      </c>
      <c r="E7" t="s">
        <v>9</v>
      </c>
      <c r="F7" s="4" t="s">
        <v>28</v>
      </c>
      <c r="G7" s="1">
        <v>76.40625</v>
      </c>
      <c r="H7" s="1">
        <f>results_ML_train_manual[[#This Row],[Time (Secs)]]/60</f>
        <v>1.2734375</v>
      </c>
    </row>
    <row r="8" spans="1:8" ht="43.5" x14ac:dyDescent="0.35">
      <c r="A8">
        <v>6</v>
      </c>
      <c r="B8" s="4" t="s">
        <v>27</v>
      </c>
      <c r="C8" s="1">
        <v>0.61966713841713839</v>
      </c>
      <c r="D8" t="s">
        <v>8</v>
      </c>
      <c r="E8" t="s">
        <v>11</v>
      </c>
      <c r="F8" s="4" t="s">
        <v>28</v>
      </c>
      <c r="G8" s="1">
        <v>80.90625</v>
      </c>
      <c r="H8" s="1">
        <f>results_ML_train_manual[[#This Row],[Time (Secs)]]/60</f>
        <v>1.3484375</v>
      </c>
    </row>
    <row r="9" spans="1:8" ht="43.5" x14ac:dyDescent="0.35">
      <c r="A9">
        <v>7</v>
      </c>
      <c r="B9" s="3" t="s">
        <v>46</v>
      </c>
      <c r="C9" s="1">
        <v>0.63556360306360304</v>
      </c>
      <c r="D9" s="2" t="s">
        <v>8</v>
      </c>
      <c r="E9" s="2" t="s">
        <v>9</v>
      </c>
      <c r="F9" s="3" t="s">
        <v>38</v>
      </c>
      <c r="G9" s="1">
        <v>4.5</v>
      </c>
      <c r="H9" s="1">
        <f>results_ML_train_manual[[#This Row],[Time (Secs)]]/60</f>
        <v>7.4999999999999997E-2</v>
      </c>
    </row>
    <row r="10" spans="1:8" ht="43.5" x14ac:dyDescent="0.35">
      <c r="A10">
        <v>8</v>
      </c>
      <c r="B10" s="3" t="s">
        <v>46</v>
      </c>
      <c r="C10" s="1">
        <v>0.63556360306360304</v>
      </c>
      <c r="D10" s="2" t="s">
        <v>8</v>
      </c>
      <c r="E10" s="2" t="s">
        <v>11</v>
      </c>
      <c r="F10" s="3" t="s">
        <v>38</v>
      </c>
      <c r="G10" s="1">
        <v>5.046875</v>
      </c>
      <c r="H10" s="1">
        <f>results_ML_train_manual[[#This Row],[Time (Secs)]]/60</f>
        <v>8.411458333333334E-2</v>
      </c>
    </row>
    <row r="11" spans="1:8" ht="43.5" x14ac:dyDescent="0.35">
      <c r="A11">
        <v>9</v>
      </c>
      <c r="B11" s="4" t="s">
        <v>29</v>
      </c>
      <c r="C11" s="1">
        <v>0.63556360306360304</v>
      </c>
      <c r="D11" t="s">
        <v>8</v>
      </c>
      <c r="E11" t="s">
        <v>9</v>
      </c>
      <c r="F11" s="4" t="s">
        <v>30</v>
      </c>
      <c r="G11" s="1">
        <v>10.859375</v>
      </c>
      <c r="H11" s="1">
        <f>results_ML_train_manual[[#This Row],[Time (Secs)]]/60</f>
        <v>0.18098958333333334</v>
      </c>
    </row>
    <row r="12" spans="1:8" ht="43.5" x14ac:dyDescent="0.35">
      <c r="A12">
        <v>10</v>
      </c>
      <c r="B12" s="4" t="s">
        <v>29</v>
      </c>
      <c r="C12" s="1">
        <v>0.63556360306360304</v>
      </c>
      <c r="D12" t="s">
        <v>8</v>
      </c>
      <c r="E12" t="s">
        <v>11</v>
      </c>
      <c r="F12" s="4" t="s">
        <v>30</v>
      </c>
      <c r="G12" s="1">
        <v>12.859375</v>
      </c>
      <c r="H12" s="1">
        <f>results_ML_train_manual[[#This Row],[Time (Secs)]]/60</f>
        <v>0.21432291666666667</v>
      </c>
    </row>
    <row r="13" spans="1:8" ht="43.5" x14ac:dyDescent="0.35">
      <c r="A13">
        <v>11</v>
      </c>
      <c r="B13" s="4" t="s">
        <v>31</v>
      </c>
      <c r="C13" s="1">
        <v>0.63101814851814853</v>
      </c>
      <c r="D13" t="s">
        <v>8</v>
      </c>
      <c r="E13" t="s">
        <v>9</v>
      </c>
      <c r="F13" s="4" t="s">
        <v>32</v>
      </c>
      <c r="G13" s="1">
        <v>273.84375</v>
      </c>
      <c r="H13" s="1">
        <f>results_ML_train_manual[[#This Row],[Time (Secs)]]/60</f>
        <v>4.5640625000000004</v>
      </c>
    </row>
    <row r="14" spans="1:8" ht="43.5" x14ac:dyDescent="0.35">
      <c r="A14">
        <v>12</v>
      </c>
      <c r="B14" s="4" t="s">
        <v>31</v>
      </c>
      <c r="C14" s="1">
        <v>0.58101814851814848</v>
      </c>
      <c r="D14" t="s">
        <v>8</v>
      </c>
      <c r="E14" t="s">
        <v>11</v>
      </c>
      <c r="F14" s="4" t="s">
        <v>33</v>
      </c>
      <c r="G14" s="1">
        <v>280.671875</v>
      </c>
      <c r="H14" s="1">
        <f>results_ML_train_manual[[#This Row],[Time (Secs)]]/60</f>
        <v>4.6778645833333332</v>
      </c>
    </row>
    <row r="15" spans="1:8" ht="43.5" x14ac:dyDescent="0.35">
      <c r="A15">
        <v>13</v>
      </c>
      <c r="B15" s="4" t="s">
        <v>7</v>
      </c>
      <c r="C15" s="1">
        <v>0.49810092685092683</v>
      </c>
      <c r="D15" t="s">
        <v>8</v>
      </c>
      <c r="E15" t="s">
        <v>9</v>
      </c>
      <c r="F15" s="4" t="s">
        <v>10</v>
      </c>
      <c r="G15" s="1">
        <v>27.453125</v>
      </c>
      <c r="H15" s="1">
        <f>results_ML_train_manual[[#This Row],[Time (Secs)]]/60</f>
        <v>0.45755208333333336</v>
      </c>
    </row>
    <row r="16" spans="1:8" ht="43.5" x14ac:dyDescent="0.35">
      <c r="A16">
        <v>14</v>
      </c>
      <c r="B16" s="4" t="s">
        <v>7</v>
      </c>
      <c r="C16" s="1">
        <v>0.46121420246420258</v>
      </c>
      <c r="D16" t="s">
        <v>8</v>
      </c>
      <c r="E16" t="s">
        <v>11</v>
      </c>
      <c r="F16" s="4" t="s">
        <v>12</v>
      </c>
      <c r="G16" s="1">
        <v>22.625</v>
      </c>
      <c r="H16" s="1">
        <f>results_ML_train_manual[[#This Row],[Time (Secs)]]/60</f>
        <v>0.37708333333333333</v>
      </c>
    </row>
    <row r="17" spans="1:9" ht="43.5" x14ac:dyDescent="0.35">
      <c r="A17">
        <v>15</v>
      </c>
      <c r="B17" s="4" t="s">
        <v>13</v>
      </c>
      <c r="C17" s="1">
        <v>0.5208184870684871</v>
      </c>
      <c r="D17" t="s">
        <v>8</v>
      </c>
      <c r="E17" t="s">
        <v>9</v>
      </c>
      <c r="F17" s="4" t="s">
        <v>14</v>
      </c>
      <c r="G17" s="1">
        <v>1269.890625</v>
      </c>
      <c r="H17" s="1">
        <f>results_ML_train_manual[[#This Row],[Time (Secs)]]/60</f>
        <v>21.164843749999999</v>
      </c>
    </row>
    <row r="18" spans="1:9" ht="43.5" x14ac:dyDescent="0.35">
      <c r="A18">
        <v>16</v>
      </c>
      <c r="B18" s="4" t="s">
        <v>13</v>
      </c>
      <c r="C18" s="1">
        <v>0.53750679875679885</v>
      </c>
      <c r="D18" t="s">
        <v>8</v>
      </c>
      <c r="E18" t="s">
        <v>11</v>
      </c>
      <c r="F18" s="4" t="s">
        <v>15</v>
      </c>
      <c r="G18" s="1">
        <v>1248.046875</v>
      </c>
      <c r="H18" s="1">
        <f>results_ML_train_manual[[#This Row],[Time (Secs)]]/60</f>
        <v>20.80078125</v>
      </c>
    </row>
    <row r="19" spans="1:9" ht="43.5" x14ac:dyDescent="0.35">
      <c r="A19">
        <v>17</v>
      </c>
      <c r="B19" s="4" t="s">
        <v>16</v>
      </c>
      <c r="C19" s="1">
        <v>0.58467074592074586</v>
      </c>
      <c r="D19" t="s">
        <v>8</v>
      </c>
      <c r="E19" t="s">
        <v>9</v>
      </c>
      <c r="F19" s="4" t="s">
        <v>17</v>
      </c>
      <c r="G19" s="1">
        <v>281</v>
      </c>
      <c r="H19" s="1">
        <f>results_ML_train_manual[[#This Row],[Time (Secs)]]/60</f>
        <v>4.6833333333333336</v>
      </c>
    </row>
    <row r="20" spans="1:9" ht="43.5" x14ac:dyDescent="0.35">
      <c r="A20">
        <v>18</v>
      </c>
      <c r="B20" s="4" t="s">
        <v>16</v>
      </c>
      <c r="C20" s="1">
        <v>0.60829087579087582</v>
      </c>
      <c r="D20" t="s">
        <v>8</v>
      </c>
      <c r="E20" t="s">
        <v>11</v>
      </c>
      <c r="F20" s="4" t="s">
        <v>18</v>
      </c>
      <c r="G20" s="1">
        <v>292.265625</v>
      </c>
      <c r="H20" s="1">
        <f>results_ML_train_manual[[#This Row],[Time (Secs)]]/60</f>
        <v>4.87109375</v>
      </c>
    </row>
    <row r="21" spans="1:9" ht="43.5" x14ac:dyDescent="0.35">
      <c r="A21">
        <v>19</v>
      </c>
      <c r="B21" s="4" t="s">
        <v>19</v>
      </c>
      <c r="C21" s="1">
        <v>0.61283633033633023</v>
      </c>
      <c r="D21" t="s">
        <v>8</v>
      </c>
      <c r="E21" t="s">
        <v>9</v>
      </c>
      <c r="F21" s="4" t="s">
        <v>20</v>
      </c>
      <c r="G21" s="1">
        <v>1181.90625</v>
      </c>
      <c r="H21" s="1">
        <f>results_ML_train_manual[[#This Row],[Time (Secs)]]/60</f>
        <v>19.698437500000001</v>
      </c>
    </row>
    <row r="22" spans="1:9" ht="43.5" x14ac:dyDescent="0.35">
      <c r="A22">
        <v>20</v>
      </c>
      <c r="B22" s="4" t="s">
        <v>19</v>
      </c>
      <c r="C22" s="1">
        <v>0.61283633033633023</v>
      </c>
      <c r="D22" t="s">
        <v>8</v>
      </c>
      <c r="E22" t="s">
        <v>11</v>
      </c>
      <c r="F22" s="4" t="s">
        <v>20</v>
      </c>
      <c r="G22" s="1">
        <v>1124.671875</v>
      </c>
      <c r="H22" s="1">
        <f>results_ML_train_manual[[#This Row],[Time (Secs)]]/60</f>
        <v>18.744531250000001</v>
      </c>
    </row>
    <row r="23" spans="1:9" ht="43.5" x14ac:dyDescent="0.35">
      <c r="A23">
        <v>21</v>
      </c>
      <c r="B23" s="4" t="s">
        <v>21</v>
      </c>
      <c r="C23" s="1">
        <v>0.6238752913752913</v>
      </c>
      <c r="D23" t="s">
        <v>8</v>
      </c>
      <c r="E23" t="s">
        <v>9</v>
      </c>
      <c r="F23" s="4" t="s">
        <v>22</v>
      </c>
      <c r="G23" s="1">
        <v>56.15625</v>
      </c>
      <c r="H23" s="1">
        <f>results_ML_train_manual[[#This Row],[Time (Secs)]]/60</f>
        <v>0.93593749999999998</v>
      </c>
    </row>
    <row r="24" spans="1:9" ht="43.5" x14ac:dyDescent="0.35">
      <c r="A24">
        <v>22</v>
      </c>
      <c r="B24" s="4" t="s">
        <v>21</v>
      </c>
      <c r="C24" s="1">
        <v>0.6238752913752913</v>
      </c>
      <c r="D24" t="s">
        <v>8</v>
      </c>
      <c r="E24" t="s">
        <v>11</v>
      </c>
      <c r="F24" s="4" t="s">
        <v>22</v>
      </c>
      <c r="G24" s="1">
        <v>54.484375</v>
      </c>
      <c r="H24" s="1">
        <f>results_ML_train_manual[[#This Row],[Time (Secs)]]/60</f>
        <v>0.90807291666666667</v>
      </c>
    </row>
    <row r="25" spans="1:9" ht="43.5" x14ac:dyDescent="0.35">
      <c r="A25">
        <v>23</v>
      </c>
      <c r="B25" s="4" t="s">
        <v>23</v>
      </c>
      <c r="C25" s="1">
        <v>0.5988843101343102</v>
      </c>
      <c r="D25" t="s">
        <v>8</v>
      </c>
      <c r="E25" t="s">
        <v>9</v>
      </c>
      <c r="F25" s="4" t="s">
        <v>24</v>
      </c>
      <c r="G25" s="1">
        <v>2.875</v>
      </c>
      <c r="H25" s="1">
        <f>results_ML_train_manual[[#This Row],[Time (Secs)]]/60</f>
        <v>4.791666666666667E-2</v>
      </c>
    </row>
    <row r="26" spans="1:9" ht="43.5" x14ac:dyDescent="0.35">
      <c r="A26">
        <v>24</v>
      </c>
      <c r="B26" s="4" t="s">
        <v>23</v>
      </c>
      <c r="C26" s="1">
        <v>0.5988843101343102</v>
      </c>
      <c r="D26" t="s">
        <v>8</v>
      </c>
      <c r="E26" t="s">
        <v>11</v>
      </c>
      <c r="F26" s="4" t="s">
        <v>24</v>
      </c>
      <c r="G26" s="1">
        <v>2.640625</v>
      </c>
      <c r="H26" s="1">
        <f>results_ML_train_manual[[#This Row],[Time (Secs)]]/60</f>
        <v>4.401041666666667E-2</v>
      </c>
    </row>
    <row r="31" spans="1:9" x14ac:dyDescent="0.35">
      <c r="G31" t="s">
        <v>34</v>
      </c>
      <c r="H31" s="1">
        <f>SUM(results_ML_train_manual[Time (Mins)])/60</f>
        <v>1.7779513888888885</v>
      </c>
      <c r="I3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CAEF-8A07-4234-904E-FD31E12B47EA}">
  <dimension ref="A1"/>
  <sheetViews>
    <sheetView topLeftCell="X1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7471-DC64-40A1-9C21-8F50859F257D}">
  <dimension ref="A1:G7"/>
  <sheetViews>
    <sheetView workbookViewId="0">
      <selection activeCell="A2" sqref="A2:G7"/>
    </sheetView>
  </sheetViews>
  <sheetFormatPr defaultRowHeight="14.5" x14ac:dyDescent="0.35"/>
  <cols>
    <col min="1" max="1" width="10.7265625" bestFit="1" customWidth="1"/>
    <col min="2" max="2" width="15.90625" bestFit="1" customWidth="1"/>
    <col min="3" max="3" width="11.81640625" bestFit="1" customWidth="1"/>
    <col min="4" max="4" width="6.6328125" bestFit="1" customWidth="1"/>
    <col min="5" max="5" width="13.08984375" bestFit="1" customWidth="1"/>
    <col min="6" max="6" width="28.1796875" bestFit="1" customWidth="1"/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27</v>
      </c>
      <c r="C2">
        <v>0.61966713841713839</v>
      </c>
      <c r="D2" t="s">
        <v>8</v>
      </c>
      <c r="E2" t="s">
        <v>9</v>
      </c>
      <c r="F2" t="s">
        <v>28</v>
      </c>
      <c r="G2">
        <v>76.40625</v>
      </c>
    </row>
    <row r="3" spans="1:7" x14ac:dyDescent="0.35">
      <c r="A3">
        <v>1</v>
      </c>
      <c r="B3" t="s">
        <v>27</v>
      </c>
      <c r="C3">
        <v>0.61966713841713839</v>
      </c>
      <c r="D3" t="s">
        <v>8</v>
      </c>
      <c r="E3" t="s">
        <v>11</v>
      </c>
      <c r="F3" t="s">
        <v>28</v>
      </c>
      <c r="G3">
        <v>80.90625</v>
      </c>
    </row>
    <row r="4" spans="1:7" x14ac:dyDescent="0.35">
      <c r="A4">
        <v>2</v>
      </c>
      <c r="B4" t="s">
        <v>29</v>
      </c>
      <c r="C4">
        <v>0.63556360306360304</v>
      </c>
      <c r="D4" t="s">
        <v>8</v>
      </c>
      <c r="E4" t="s">
        <v>9</v>
      </c>
      <c r="F4" t="s">
        <v>30</v>
      </c>
      <c r="G4">
        <v>10.859375</v>
      </c>
    </row>
    <row r="5" spans="1:7" x14ac:dyDescent="0.35">
      <c r="A5">
        <v>3</v>
      </c>
      <c r="B5" t="s">
        <v>29</v>
      </c>
      <c r="C5">
        <v>0.63556360306360304</v>
      </c>
      <c r="D5" t="s">
        <v>8</v>
      </c>
      <c r="E5" t="s">
        <v>11</v>
      </c>
      <c r="F5" t="s">
        <v>30</v>
      </c>
      <c r="G5">
        <v>12.859375</v>
      </c>
    </row>
    <row r="6" spans="1:7" x14ac:dyDescent="0.35">
      <c r="A6">
        <v>4</v>
      </c>
      <c r="B6" t="s">
        <v>31</v>
      </c>
      <c r="C6">
        <v>0.63101814851814853</v>
      </c>
      <c r="D6" t="s">
        <v>8</v>
      </c>
      <c r="E6" t="s">
        <v>9</v>
      </c>
      <c r="F6" t="s">
        <v>32</v>
      </c>
      <c r="G6">
        <v>273.84375</v>
      </c>
    </row>
    <row r="7" spans="1:7" x14ac:dyDescent="0.35">
      <c r="A7">
        <v>5</v>
      </c>
      <c r="B7" t="s">
        <v>31</v>
      </c>
      <c r="C7">
        <v>0.58101814851814848</v>
      </c>
      <c r="D7" t="s">
        <v>8</v>
      </c>
      <c r="E7" t="s">
        <v>11</v>
      </c>
      <c r="F7" t="s">
        <v>33</v>
      </c>
      <c r="G7">
        <v>280.671875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7BC0-EF05-4338-A3E1-995F6D9B99A6}">
  <dimension ref="A1:G6"/>
  <sheetViews>
    <sheetView workbookViewId="0">
      <selection activeCell="A2" sqref="A2:XFD6"/>
    </sheetView>
  </sheetViews>
  <sheetFormatPr defaultRowHeight="14.5" x14ac:dyDescent="0.35"/>
  <cols>
    <col min="1" max="1" width="10.7265625" bestFit="1" customWidth="1"/>
    <col min="2" max="2" width="27.08984375" bestFit="1" customWidth="1"/>
    <col min="3" max="3" width="13.453125" bestFit="1" customWidth="1"/>
    <col min="4" max="4" width="6.6328125" bestFit="1" customWidth="1"/>
    <col min="5" max="5" width="9.36328125" bestFit="1" customWidth="1"/>
    <col min="6" max="6" width="28.1796875" bestFit="1" customWidth="1"/>
    <col min="7" max="7" width="9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s="2" t="s">
        <v>36</v>
      </c>
      <c r="C2" s="1">
        <v>0.63556360306360304</v>
      </c>
      <c r="D2" s="2" t="s">
        <v>8</v>
      </c>
      <c r="E2" s="2" t="s">
        <v>37</v>
      </c>
      <c r="F2" s="2" t="s">
        <v>38</v>
      </c>
      <c r="G2">
        <v>10</v>
      </c>
    </row>
    <row r="3" spans="1:7" x14ac:dyDescent="0.35">
      <c r="A3">
        <v>1</v>
      </c>
      <c r="B3" s="2" t="s">
        <v>39</v>
      </c>
      <c r="C3" s="1">
        <v>0.63556360306360304</v>
      </c>
      <c r="D3" s="2" t="s">
        <v>8</v>
      </c>
      <c r="E3" s="2" t="s">
        <v>37</v>
      </c>
      <c r="F3" s="2" t="s">
        <v>38</v>
      </c>
      <c r="G3">
        <v>7.984375</v>
      </c>
    </row>
    <row r="4" spans="1:7" x14ac:dyDescent="0.35">
      <c r="A4">
        <v>2</v>
      </c>
      <c r="B4" s="2" t="s">
        <v>40</v>
      </c>
      <c r="C4" s="1">
        <v>0.42004662004662008</v>
      </c>
      <c r="D4" s="2" t="s">
        <v>8</v>
      </c>
      <c r="E4" s="2" t="s">
        <v>37</v>
      </c>
      <c r="F4" s="2" t="s">
        <v>41</v>
      </c>
      <c r="G4">
        <v>10.734375</v>
      </c>
    </row>
    <row r="5" spans="1:7" x14ac:dyDescent="0.35">
      <c r="A5">
        <v>3</v>
      </c>
      <c r="B5" s="2" t="s">
        <v>42</v>
      </c>
      <c r="C5" s="1">
        <v>0.34712218337218337</v>
      </c>
      <c r="D5" s="2" t="s">
        <v>8</v>
      </c>
      <c r="E5" s="2" t="s">
        <v>37</v>
      </c>
      <c r="F5" s="2" t="s">
        <v>43</v>
      </c>
      <c r="G5">
        <v>12.75</v>
      </c>
    </row>
    <row r="6" spans="1:7" x14ac:dyDescent="0.35">
      <c r="A6">
        <v>4</v>
      </c>
      <c r="B6" s="2" t="s">
        <v>44</v>
      </c>
      <c r="C6" s="1">
        <v>0.52131340881340882</v>
      </c>
      <c r="D6" s="2" t="s">
        <v>8</v>
      </c>
      <c r="E6" s="2" t="s">
        <v>37</v>
      </c>
      <c r="F6" s="2" t="s">
        <v>45</v>
      </c>
      <c r="G6">
        <v>50.046875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AC80-5039-4AF1-8DE9-AB1E0DD76441}">
  <dimension ref="A1:G7"/>
  <sheetViews>
    <sheetView workbookViewId="0">
      <selection activeCell="A4" sqref="A4:XFD7"/>
    </sheetView>
  </sheetViews>
  <sheetFormatPr defaultRowHeight="14.5" x14ac:dyDescent="0.35"/>
  <cols>
    <col min="1" max="1" width="10.7265625" bestFit="1" customWidth="1"/>
    <col min="2" max="2" width="15.90625" bestFit="1" customWidth="1"/>
    <col min="3" max="3" width="11.81640625" bestFit="1" customWidth="1"/>
    <col min="4" max="4" width="6.6328125" bestFit="1" customWidth="1"/>
    <col min="5" max="5" width="13.08984375" bestFit="1" customWidth="1"/>
    <col min="6" max="6" width="28.1796875" bestFit="1" customWidth="1"/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s="2" t="s">
        <v>27</v>
      </c>
      <c r="C2">
        <v>0.61966713841713839</v>
      </c>
      <c r="D2" s="2" t="s">
        <v>8</v>
      </c>
      <c r="E2" s="2" t="s">
        <v>9</v>
      </c>
      <c r="F2" s="2" t="s">
        <v>28</v>
      </c>
      <c r="G2">
        <v>76.40625</v>
      </c>
    </row>
    <row r="3" spans="1:7" x14ac:dyDescent="0.35">
      <c r="A3">
        <v>1</v>
      </c>
      <c r="B3" s="2" t="s">
        <v>27</v>
      </c>
      <c r="C3">
        <v>0.61966713841713839</v>
      </c>
      <c r="D3" s="2" t="s">
        <v>8</v>
      </c>
      <c r="E3" s="2" t="s">
        <v>11</v>
      </c>
      <c r="F3" s="2" t="s">
        <v>28</v>
      </c>
      <c r="G3">
        <v>80.90625</v>
      </c>
    </row>
    <row r="4" spans="1:7" x14ac:dyDescent="0.35">
      <c r="A4">
        <v>2</v>
      </c>
      <c r="B4" s="2" t="s">
        <v>29</v>
      </c>
      <c r="C4">
        <v>0.63556360306360304</v>
      </c>
      <c r="D4" s="2" t="s">
        <v>8</v>
      </c>
      <c r="E4" s="2" t="s">
        <v>9</v>
      </c>
      <c r="F4" s="2" t="s">
        <v>30</v>
      </c>
      <c r="G4">
        <v>10.859375</v>
      </c>
    </row>
    <row r="5" spans="1:7" x14ac:dyDescent="0.35">
      <c r="A5">
        <v>3</v>
      </c>
      <c r="B5" s="2" t="s">
        <v>29</v>
      </c>
      <c r="C5">
        <v>0.63556360306360304</v>
      </c>
      <c r="D5" s="2" t="s">
        <v>8</v>
      </c>
      <c r="E5" s="2" t="s">
        <v>11</v>
      </c>
      <c r="F5" s="2" t="s">
        <v>30</v>
      </c>
      <c r="G5">
        <v>12.859375</v>
      </c>
    </row>
    <row r="6" spans="1:7" x14ac:dyDescent="0.35">
      <c r="A6">
        <v>4</v>
      </c>
      <c r="B6" s="2" t="s">
        <v>31</v>
      </c>
      <c r="C6">
        <v>0.63101814851814853</v>
      </c>
      <c r="D6" s="2" t="s">
        <v>8</v>
      </c>
      <c r="E6" s="2" t="s">
        <v>9</v>
      </c>
      <c r="F6" s="2" t="s">
        <v>32</v>
      </c>
      <c r="G6">
        <v>273.84375</v>
      </c>
    </row>
    <row r="7" spans="1:7" x14ac:dyDescent="0.35">
      <c r="A7">
        <v>5</v>
      </c>
      <c r="B7" s="2" t="s">
        <v>31</v>
      </c>
      <c r="C7">
        <v>0.58101814851814848</v>
      </c>
      <c r="D7" s="2" t="s">
        <v>8</v>
      </c>
      <c r="E7" s="2" t="s">
        <v>11</v>
      </c>
      <c r="F7" s="2" t="s">
        <v>33</v>
      </c>
      <c r="G7">
        <v>280.671875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DD5C-005C-4572-B9CA-B04EBC7C98B3}">
  <dimension ref="A1:G3"/>
  <sheetViews>
    <sheetView workbookViewId="0">
      <selection activeCell="A2" sqref="A2:G3"/>
    </sheetView>
  </sheetViews>
  <sheetFormatPr defaultRowHeight="14.5" x14ac:dyDescent="0.35"/>
  <cols>
    <col min="1" max="1" width="10.7265625" bestFit="1" customWidth="1"/>
    <col min="2" max="2" width="10.1796875" bestFit="1" customWidth="1"/>
    <col min="3" max="3" width="11.81640625" bestFit="1" customWidth="1"/>
    <col min="4" max="4" width="6.6328125" bestFit="1" customWidth="1"/>
    <col min="5" max="5" width="13.08984375" bestFit="1" customWidth="1"/>
    <col min="6" max="6" width="28.1796875" bestFit="1" customWidth="1"/>
    <col min="7" max="7" width="8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s="2" t="s">
        <v>46</v>
      </c>
      <c r="C2">
        <v>0.63556360306360304</v>
      </c>
      <c r="D2" s="2" t="s">
        <v>8</v>
      </c>
      <c r="E2" s="2" t="s">
        <v>9</v>
      </c>
      <c r="F2" s="2" t="s">
        <v>38</v>
      </c>
      <c r="G2">
        <v>4.5</v>
      </c>
    </row>
    <row r="3" spans="1:7" x14ac:dyDescent="0.35">
      <c r="A3">
        <v>1</v>
      </c>
      <c r="B3" s="2" t="s">
        <v>46</v>
      </c>
      <c r="C3">
        <v>0.63556360306360304</v>
      </c>
      <c r="D3" s="2" t="s">
        <v>8</v>
      </c>
      <c r="E3" s="2" t="s">
        <v>11</v>
      </c>
      <c r="F3" s="2" t="s">
        <v>38</v>
      </c>
      <c r="G3">
        <v>5.046875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B4EF-BC86-4572-ABB4-58EA6EF71D7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61395B-EF6C-4255-9527-185F010A98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results_ML_train_manual</vt:lpstr>
      <vt:lpstr>Sheet2</vt:lpstr>
      <vt:lpstr>results_ML_train_manual_Linear </vt:lpstr>
      <vt:lpstr>results_ML_train_SCALER__Baseli</vt:lpstr>
      <vt:lpstr>results_ML_train_manual_Lin (2)</vt:lpstr>
      <vt:lpstr>results_ML_train_manual_SVM Sim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 Diaz</dc:creator>
  <cp:lastModifiedBy>Carlos Gonzalez Diaz</cp:lastModifiedBy>
  <dcterms:created xsi:type="dcterms:W3CDTF">2025-12-10T11:12:45Z</dcterms:created>
  <dcterms:modified xsi:type="dcterms:W3CDTF">2025-12-13T00:43:28Z</dcterms:modified>
</cp:coreProperties>
</file>