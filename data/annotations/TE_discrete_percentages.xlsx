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regeo\Documents\GitHub\vilearn_ml\data\annotations\"/>
    </mc:Choice>
  </mc:AlternateContent>
  <xr:revisionPtr revIDLastSave="0" documentId="13_ncr:9_{AF11CD2B-0494-416B-A28E-F9A75972BCAA}" xr6:coauthVersionLast="47" xr6:coauthVersionMax="47" xr10:uidLastSave="{00000000-0000-0000-0000-000000000000}"/>
  <bookViews>
    <workbookView xWindow="-108" yWindow="-108" windowWidth="23256" windowHeight="14856" firstSheet="2" activeTab="2" xr2:uid="{8450E3AB-A0C1-455F-AE9B-DBE7A60F6C99}"/>
  </bookViews>
  <sheets>
    <sheet name="TE_discrete_percentages" sheetId="1" r:id="rId1"/>
    <sheet name="TE_discrete_.1" sheetId="2" r:id="rId2"/>
    <sheet name="TE_discrete_twobinsV1" sheetId="3" r:id="rId3"/>
    <sheet name="interraterReliability windV1" sheetId="5" r:id="rId4"/>
    <sheet name="TE_discrete_twobinsV2" sheetId="6" r:id="rId5"/>
    <sheet name="interraterReliability windV2" sheetId="4" r:id="rId6"/>
  </sheets>
  <calcPr calcId="0"/>
</workbook>
</file>

<file path=xl/calcChain.xml><?xml version="1.0" encoding="utf-8"?>
<calcChain xmlns="http://schemas.openxmlformats.org/spreadsheetml/2006/main">
  <c r="CI19" i="2" l="1"/>
  <c r="CI20" i="2"/>
  <c r="CI21" i="2"/>
  <c r="CI22" i="2"/>
  <c r="CI23" i="2"/>
  <c r="CI24" i="2"/>
  <c r="CI25" i="2"/>
  <c r="CI26" i="2"/>
  <c r="CI27" i="2"/>
  <c r="CI18" i="2"/>
  <c r="CH19" i="2"/>
  <c r="CH20" i="2"/>
  <c r="CH21" i="2"/>
  <c r="CH22" i="2"/>
  <c r="CH23" i="2"/>
  <c r="CH24" i="2"/>
  <c r="CH25" i="2"/>
  <c r="CH26" i="2"/>
  <c r="CH27" i="2"/>
  <c r="CH18" i="2"/>
  <c r="CG19" i="2"/>
  <c r="CG20" i="2"/>
  <c r="CG21" i="2"/>
  <c r="CG22" i="2"/>
  <c r="CG23" i="2"/>
  <c r="CG24" i="2"/>
  <c r="CG25" i="2"/>
  <c r="CG26" i="2"/>
  <c r="CG27" i="2"/>
  <c r="CG18" i="2"/>
  <c r="U15" i="3"/>
  <c r="X15" i="3" s="1"/>
  <c r="U14" i="3"/>
  <c r="I15" i="3"/>
  <c r="I14" i="3"/>
  <c r="X14" i="3" s="1"/>
  <c r="W10" i="6"/>
  <c r="U10" i="6"/>
  <c r="I10" i="6"/>
</calcChain>
</file>

<file path=xl/sharedStrings.xml><?xml version="1.0" encoding="utf-8"?>
<sst xmlns="http://schemas.openxmlformats.org/spreadsheetml/2006/main" count="543" uniqueCount="112">
  <si>
    <t>task_eng</t>
  </si>
  <si>
    <t>dyad_01_anno01</t>
  </si>
  <si>
    <t>dyad_01_anno02</t>
  </si>
  <si>
    <t>dyad_02_anno01</t>
  </si>
  <si>
    <t>dyad_02_anno02</t>
  </si>
  <si>
    <t>dyad_03_anno01</t>
  </si>
  <si>
    <t>dyad_03_anno02</t>
  </si>
  <si>
    <t>dyad_04_anno01</t>
  </si>
  <si>
    <t>dyad_04_anno02</t>
  </si>
  <si>
    <t>dyad_05_anno01</t>
  </si>
  <si>
    <t>dyad_05_anno02</t>
  </si>
  <si>
    <t>dyad_06_anno01</t>
  </si>
  <si>
    <t>dyad_06_anno02</t>
  </si>
  <si>
    <t>dyad_07_anno01</t>
  </si>
  <si>
    <t>dyad_07_anno02</t>
  </si>
  <si>
    <t>dyad_08_anno01</t>
  </si>
  <si>
    <t>dyad_08_anno02</t>
  </si>
  <si>
    <t>dyad_09_anno01</t>
  </si>
  <si>
    <t>dyad_09_anno02</t>
  </si>
  <si>
    <t>dyad_10_anno01</t>
  </si>
  <si>
    <t>dyad_10_anno02</t>
  </si>
  <si>
    <t>dyad_11_anno01</t>
  </si>
  <si>
    <t>dyad_11_anno02</t>
  </si>
  <si>
    <t>triad_01_anno01</t>
  </si>
  <si>
    <t>triad_01_anno02</t>
  </si>
  <si>
    <t>triad_02_anno01</t>
  </si>
  <si>
    <t>triad_02_anno02</t>
  </si>
  <si>
    <t>triad_03_anno01</t>
  </si>
  <si>
    <t>triad_03_anno02</t>
  </si>
  <si>
    <t>triad_04_anno01</t>
  </si>
  <si>
    <t>triad_04_anno02</t>
  </si>
  <si>
    <t>triad_05_anno01</t>
  </si>
  <si>
    <t>triad_05_anno02</t>
  </si>
  <si>
    <t>triad_06_anno01</t>
  </si>
  <si>
    <t>triad_06_anno02</t>
  </si>
  <si>
    <t>triad_07_anno01</t>
  </si>
  <si>
    <t>triad_07_anno02</t>
  </si>
  <si>
    <t>triad_08_anno01</t>
  </si>
  <si>
    <t>triad_08_anno02</t>
  </si>
  <si>
    <t>triad_09_anno01</t>
  </si>
  <si>
    <t>triad_09_anno02</t>
  </si>
  <si>
    <t>triad_10_anno01</t>
  </si>
  <si>
    <t>triad_10_anno02</t>
  </si>
  <si>
    <t>triad_11_anno01</t>
  </si>
  <si>
    <t>triad_11_anno02</t>
  </si>
  <si>
    <t>triad_12_anno01</t>
  </si>
  <si>
    <t>triad_12_anno02</t>
  </si>
  <si>
    <t>triad_13_anno01</t>
  </si>
  <si>
    <t>triad_13_anno02</t>
  </si>
  <si>
    <t>triad_14_anno01</t>
  </si>
  <si>
    <t>triad_14_anno02</t>
  </si>
  <si>
    <t>high</t>
  </si>
  <si>
    <t>low</t>
  </si>
  <si>
    <t>mid</t>
  </si>
  <si>
    <t>.9-1</t>
  </si>
  <si>
    <t>.8-.9</t>
  </si>
  <si>
    <t>.2-.3</t>
  </si>
  <si>
    <t>.4-.5</t>
  </si>
  <si>
    <t>.1-.2</t>
  </si>
  <si>
    <t>.5-.6</t>
  </si>
  <si>
    <t>.3-.4</t>
  </si>
  <si>
    <t>.6-.7</t>
  </si>
  <si>
    <t>.7-.8</t>
  </si>
  <si>
    <t>.0-.1</t>
  </si>
  <si>
    <t>Triads</t>
  </si>
  <si>
    <t>0.0-.25</t>
  </si>
  <si>
    <t>.25-.5</t>
  </si>
  <si>
    <t>.5-.75 (1)</t>
  </si>
  <si>
    <t>0.0-.33</t>
  </si>
  <si>
    <t>.33-.66</t>
  </si>
  <si>
    <t>.66-1</t>
  </si>
  <si>
    <t>Helen</t>
  </si>
  <si>
    <t>Laura</t>
  </si>
  <si>
    <t>dyad_02_interrater_relia</t>
  </si>
  <si>
    <t>dyad_03_interrater_relia</t>
  </si>
  <si>
    <t>dyad_04_interrater_relia</t>
  </si>
  <si>
    <t>dyad_05_interrater_relia</t>
  </si>
  <si>
    <t>dyad_06_interrater_relia</t>
  </si>
  <si>
    <t>dyad_07_interrater_relia</t>
  </si>
  <si>
    <t>dyad_10_interrater_relia</t>
  </si>
  <si>
    <t>dyad_11_interrater_relia</t>
  </si>
  <si>
    <t>triad_01_interrater_relia</t>
  </si>
  <si>
    <t>triad_02_interrater_relia</t>
  </si>
  <si>
    <t>triad_05_interrater_relia</t>
  </si>
  <si>
    <t>triad_06_interrater_relia</t>
  </si>
  <si>
    <t>triad_07_interrater_relia</t>
  </si>
  <si>
    <t>triad_08_interrater_relia</t>
  </si>
  <si>
    <t>triad_09_interrater_relia</t>
  </si>
  <si>
    <t>triad_10_interrater_relia</t>
  </si>
  <si>
    <t>triad_11_interrater_relia</t>
  </si>
  <si>
    <t>triad_12_interrater_relia</t>
  </si>
  <si>
    <t>triad_13_interrater_relia</t>
  </si>
  <si>
    <t>triad_14_interrater_relia</t>
  </si>
  <si>
    <t>continuous</t>
  </si>
  <si>
    <t>discrete</t>
  </si>
  <si>
    <t>total</t>
  </si>
  <si>
    <t>AVG all</t>
  </si>
  <si>
    <t>triads</t>
  </si>
  <si>
    <t>dyads</t>
  </si>
  <si>
    <t>.8 as top interval and then equal split</t>
  </si>
  <si>
    <t xml:space="preserve">three way might be dificult to get good results; try also </t>
  </si>
  <si>
    <t>Continous</t>
  </si>
  <si>
    <t>Discrete</t>
  </si>
  <si>
    <t>.2666 .5333</t>
  </si>
  <si>
    <t>.2333 .4666</t>
  </si>
  <si>
    <t>avg dyads</t>
  </si>
  <si>
    <t>avg triads</t>
  </si>
  <si>
    <t>avg all</t>
  </si>
  <si>
    <t>.2 .4</t>
  </si>
  <si>
    <t>max val .6</t>
  </si>
  <si>
    <t>max val .7</t>
  </si>
  <si>
    <t>max val 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</si>
</sst>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Font="1"/>
    <xf numFmtId="0" fontId="0" fillId="0" borderId="10" xfId="0" applyFont="1" applyBorder="1"/>
    <xf numFmtId="0" fontId="0" fillId="0" borderId="11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Dyads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TE_discrete_percentages!$A$2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TE_discrete_percentages!$B$1:$W$1</c:f>
              <c:strCache>
                <c:ptCount val="22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TE_discrete_percentages!$B$2:$AY$2</c15:sqref>
                  </c15:fullRef>
                </c:ext>
              </c:extLst>
              <c:f>TE_discrete_percentages!$B$2:$W$2</c:f>
              <c:numCache>
                <c:formatCode>General</c:formatCode>
                <c:ptCount val="22"/>
                <c:pt idx="0">
                  <c:v>0.69790045944610202</c:v>
                </c:pt>
                <c:pt idx="1">
                  <c:v>1.7078215665098501E-2</c:v>
                </c:pt>
                <c:pt idx="2">
                  <c:v>0.47961134477407102</c:v>
                </c:pt>
                <c:pt idx="3">
                  <c:v>0</c:v>
                </c:pt>
                <c:pt idx="4">
                  <c:v>0.74818318506452797</c:v>
                </c:pt>
                <c:pt idx="5">
                  <c:v>0</c:v>
                </c:pt>
                <c:pt idx="6">
                  <c:v>0.66684062557869395</c:v>
                </c:pt>
                <c:pt idx="7">
                  <c:v>0.144879715829699</c:v>
                </c:pt>
                <c:pt idx="8">
                  <c:v>0.43899452362325198</c:v>
                </c:pt>
                <c:pt idx="9">
                  <c:v>0.149256777441409</c:v>
                </c:pt>
                <c:pt idx="10">
                  <c:v>0.92854612515368096</c:v>
                </c:pt>
                <c:pt idx="11">
                  <c:v>0.415991164641897</c:v>
                </c:pt>
                <c:pt idx="12">
                  <c:v>0.695354742861091</c:v>
                </c:pt>
                <c:pt idx="13">
                  <c:v>6.9791144816625406E-2</c:v>
                </c:pt>
                <c:pt idx="14">
                  <c:v>0.355864269062453</c:v>
                </c:pt>
                <c:pt idx="15">
                  <c:v>1.50645526305026E-2</c:v>
                </c:pt>
                <c:pt idx="16">
                  <c:v>0.123857234751759</c:v>
                </c:pt>
                <c:pt idx="17">
                  <c:v>0</c:v>
                </c:pt>
                <c:pt idx="18">
                  <c:v>0.116140428350629</c:v>
                </c:pt>
                <c:pt idx="19">
                  <c:v>0</c:v>
                </c:pt>
                <c:pt idx="20">
                  <c:v>0.60213659380017204</c:v>
                </c:pt>
                <c:pt idx="21" formatCode="0.00E+00">
                  <c:v>4.1167510600633898E-5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0-4F23-A26B-55A61499016A}"/>
            </c:ext>
          </c:extLst>
        </c:ser>
        <c:ser>
          <c:idx val="1"/>
          <c:order val="1"/>
          <c:tx>
            <c:strRef>
              <c:f>TE_discrete_percentages!$A$3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TE_discrete_percentages!$B$1:$W$1</c:f>
              <c:strCache>
                <c:ptCount val="22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TE_discrete_percentages!$B$3:$AY$3</c15:sqref>
                  </c15:fullRef>
                </c:ext>
              </c:extLst>
              <c:f>TE_discrete_percentages!$B$3:$W$3</c:f>
              <c:numCache>
                <c:formatCode>General</c:formatCode>
                <c:ptCount val="22"/>
                <c:pt idx="0">
                  <c:v>0.15031758525379299</c:v>
                </c:pt>
                <c:pt idx="1">
                  <c:v>0.65060130695026597</c:v>
                </c:pt>
                <c:pt idx="2">
                  <c:v>0.14992915139110599</c:v>
                </c:pt>
                <c:pt idx="3">
                  <c:v>0.463147477564607</c:v>
                </c:pt>
                <c:pt idx="4">
                  <c:v>0.143731988472622</c:v>
                </c:pt>
                <c:pt idx="5">
                  <c:v>0.83383974439293296</c:v>
                </c:pt>
                <c:pt idx="6">
                  <c:v>0.13700106058820499</c:v>
                </c:pt>
                <c:pt idx="7">
                  <c:v>0.56192656689281295</c:v>
                </c:pt>
                <c:pt idx="8">
                  <c:v>0.30067349229565599</c:v>
                </c:pt>
                <c:pt idx="9">
                  <c:v>0.42270145243035401</c:v>
                </c:pt>
                <c:pt idx="10">
                  <c:v>1.1044197628623201E-2</c:v>
                </c:pt>
                <c:pt idx="11">
                  <c:v>0.53249703056950504</c:v>
                </c:pt>
                <c:pt idx="12">
                  <c:v>0.110888455093544</c:v>
                </c:pt>
                <c:pt idx="13">
                  <c:v>0.70364676006702698</c:v>
                </c:pt>
                <c:pt idx="14">
                  <c:v>0.46749192240051202</c:v>
                </c:pt>
                <c:pt idx="15">
                  <c:v>0.25312538343035501</c:v>
                </c:pt>
                <c:pt idx="16">
                  <c:v>0.25069686750745601</c:v>
                </c:pt>
                <c:pt idx="17">
                  <c:v>3.6646459133350198E-3</c:v>
                </c:pt>
                <c:pt idx="18">
                  <c:v>0.22885846765290299</c:v>
                </c:pt>
                <c:pt idx="19">
                  <c:v>0.16824906160300199</c:v>
                </c:pt>
                <c:pt idx="20">
                  <c:v>0.34173150549586201</c:v>
                </c:pt>
                <c:pt idx="21">
                  <c:v>0.33086328269729498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0-4F23-A26B-55A61499016A}"/>
            </c:ext>
          </c:extLst>
        </c:ser>
        <c:ser>
          <c:idx val="2"/>
          <c:order val="2"/>
          <c:tx>
            <c:strRef>
              <c:f>TE_discrete_percentages!$A$4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TE_discrete_percentages!$B$1:$W$1</c:f>
              <c:strCache>
                <c:ptCount val="22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TE_discrete_percentages!$B$4:$AY$4</c15:sqref>
                  </c15:fullRef>
                </c:ext>
              </c:extLst>
              <c:f>TE_discrete_percentages!$B$4:$W$4</c:f>
              <c:numCache>
                <c:formatCode>General</c:formatCode>
                <c:ptCount val="22"/>
                <c:pt idx="0">
                  <c:v>0.15178195530010399</c:v>
                </c:pt>
                <c:pt idx="1">
                  <c:v>0.32433966063224101</c:v>
                </c:pt>
                <c:pt idx="2">
                  <c:v>0.37045950383482101</c:v>
                </c:pt>
                <c:pt idx="3">
                  <c:v>0.43788938620363899</c:v>
                </c:pt>
                <c:pt idx="4">
                  <c:v>0.108069164265129</c:v>
                </c:pt>
                <c:pt idx="5">
                  <c:v>0.166128931211627</c:v>
                </c:pt>
                <c:pt idx="6">
                  <c:v>0.19615831383310001</c:v>
                </c:pt>
                <c:pt idx="7">
                  <c:v>0.293193717277486</c:v>
                </c:pt>
                <c:pt idx="8">
                  <c:v>0.25801898023742298</c:v>
                </c:pt>
                <c:pt idx="9">
                  <c:v>0.420881662641586</c:v>
                </c:pt>
                <c:pt idx="10">
                  <c:v>6.0388839108962401E-2</c:v>
                </c:pt>
                <c:pt idx="11">
                  <c:v>5.1220071266331803E-2</c:v>
                </c:pt>
                <c:pt idx="12">
                  <c:v>0.19373952700951799</c:v>
                </c:pt>
                <c:pt idx="13">
                  <c:v>0.21787275208595999</c:v>
                </c:pt>
                <c:pt idx="14">
                  <c:v>0.17664380853703401</c:v>
                </c:pt>
                <c:pt idx="15">
                  <c:v>0.69885891126228605</c:v>
                </c:pt>
                <c:pt idx="16">
                  <c:v>0.62544589774078396</c:v>
                </c:pt>
                <c:pt idx="17">
                  <c:v>0.94204791329603699</c:v>
                </c:pt>
                <c:pt idx="18">
                  <c:v>0.65381430779421501</c:v>
                </c:pt>
                <c:pt idx="19">
                  <c:v>0.53850187679399397</c:v>
                </c:pt>
                <c:pt idx="20">
                  <c:v>5.6131900703964399E-2</c:v>
                </c:pt>
                <c:pt idx="21">
                  <c:v>0.65760981433452703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0-4F23-A26B-55A614990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061584"/>
        <c:axId val="252073104"/>
      </c:barChart>
      <c:catAx>
        <c:axId val="25206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3104"/>
        <c:crosses val="autoZero"/>
        <c:auto val="1"/>
        <c:lblAlgn val="ctr"/>
        <c:lblOffset val="100"/>
        <c:noMultiLvlLbl val="0"/>
      </c:catAx>
      <c:valAx>
        <c:axId val="2520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Triads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TE_discrete_percentages!$A$2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TE_discrete_percentages!$X$1:$AY$1</c:f>
              <c:strCache>
                <c:ptCount val="28"/>
                <c:pt idx="0">
                  <c:v>triad_01_anno01</c:v>
                </c:pt>
                <c:pt idx="1">
                  <c:v>triad_01_anno02</c:v>
                </c:pt>
                <c:pt idx="2">
                  <c:v>triad_02_anno01</c:v>
                </c:pt>
                <c:pt idx="3">
                  <c:v>triad_02_anno02</c:v>
                </c:pt>
                <c:pt idx="4">
                  <c:v>triad_03_anno01</c:v>
                </c:pt>
                <c:pt idx="5">
                  <c:v>triad_03_anno02</c:v>
                </c:pt>
                <c:pt idx="6">
                  <c:v>triad_04_anno01</c:v>
                </c:pt>
                <c:pt idx="7">
                  <c:v>triad_04_anno02</c:v>
                </c:pt>
                <c:pt idx="8">
                  <c:v>triad_05_anno01</c:v>
                </c:pt>
                <c:pt idx="9">
                  <c:v>triad_05_anno02</c:v>
                </c:pt>
                <c:pt idx="10">
                  <c:v>triad_06_anno01</c:v>
                </c:pt>
                <c:pt idx="11">
                  <c:v>triad_06_anno02</c:v>
                </c:pt>
                <c:pt idx="12">
                  <c:v>triad_07_anno01</c:v>
                </c:pt>
                <c:pt idx="13">
                  <c:v>triad_07_anno02</c:v>
                </c:pt>
                <c:pt idx="14">
                  <c:v>triad_08_anno01</c:v>
                </c:pt>
                <c:pt idx="15">
                  <c:v>triad_08_anno02</c:v>
                </c:pt>
                <c:pt idx="16">
                  <c:v>triad_09_anno01</c:v>
                </c:pt>
                <c:pt idx="17">
                  <c:v>triad_09_anno02</c:v>
                </c:pt>
                <c:pt idx="18">
                  <c:v>triad_10_anno01</c:v>
                </c:pt>
                <c:pt idx="19">
                  <c:v>triad_10_anno02</c:v>
                </c:pt>
                <c:pt idx="20">
                  <c:v>triad_11_anno01</c:v>
                </c:pt>
                <c:pt idx="21">
                  <c:v>triad_11_anno02</c:v>
                </c:pt>
                <c:pt idx="22">
                  <c:v>triad_12_anno01</c:v>
                </c:pt>
                <c:pt idx="23">
                  <c:v>triad_12_anno02</c:v>
                </c:pt>
                <c:pt idx="24">
                  <c:v>triad_13_anno01</c:v>
                </c:pt>
                <c:pt idx="25">
                  <c:v>triad_13_anno02</c:v>
                </c:pt>
                <c:pt idx="26">
                  <c:v>triad_14_anno01</c:v>
                </c:pt>
                <c:pt idx="27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TE_discrete_percentages!$B$2:$AY$2</c15:sqref>
                  </c15:fullRef>
                </c:ext>
              </c:extLst>
              <c:f>TE_discrete_percentages!$X$2:$AY$2</c:f>
              <c:numCache>
                <c:formatCode>General</c:formatCode>
                <c:ptCount val="28"/>
                <c:pt idx="0">
                  <c:v>0.43328185212397402</c:v>
                </c:pt>
                <c:pt idx="1">
                  <c:v>0</c:v>
                </c:pt>
                <c:pt idx="2">
                  <c:v>0.79845533254624101</c:v>
                </c:pt>
                <c:pt idx="3">
                  <c:v>1.323297914207E-2</c:v>
                </c:pt>
                <c:pt idx="4">
                  <c:v>0.68654487167811096</c:v>
                </c:pt>
                <c:pt idx="5">
                  <c:v>0</c:v>
                </c:pt>
                <c:pt idx="6">
                  <c:v>0.68512138841041303</c:v>
                </c:pt>
                <c:pt idx="7">
                  <c:v>0</c:v>
                </c:pt>
                <c:pt idx="8">
                  <c:v>0.63778406624884898</c:v>
                </c:pt>
                <c:pt idx="9">
                  <c:v>0</c:v>
                </c:pt>
                <c:pt idx="10">
                  <c:v>0.71398762283533301</c:v>
                </c:pt>
                <c:pt idx="11">
                  <c:v>2.6751796829020298E-3</c:v>
                </c:pt>
                <c:pt idx="12">
                  <c:v>0.35741104952619301</c:v>
                </c:pt>
                <c:pt idx="13">
                  <c:v>0</c:v>
                </c:pt>
                <c:pt idx="14">
                  <c:v>6.3156048068769899E-2</c:v>
                </c:pt>
                <c:pt idx="15">
                  <c:v>0</c:v>
                </c:pt>
                <c:pt idx="16">
                  <c:v>0.69235877004801305</c:v>
                </c:pt>
                <c:pt idx="17">
                  <c:v>6.2059454489733299E-3</c:v>
                </c:pt>
                <c:pt idx="18">
                  <c:v>0.32977909011373502</c:v>
                </c:pt>
                <c:pt idx="19">
                  <c:v>0</c:v>
                </c:pt>
                <c:pt idx="20">
                  <c:v>0.21420744199342501</c:v>
                </c:pt>
                <c:pt idx="21">
                  <c:v>0</c:v>
                </c:pt>
                <c:pt idx="22">
                  <c:v>0.72785443888142598</c:v>
                </c:pt>
                <c:pt idx="23">
                  <c:v>0</c:v>
                </c:pt>
                <c:pt idx="24">
                  <c:v>0.69873102402570397</c:v>
                </c:pt>
                <c:pt idx="25" formatCode="0.00E+00">
                  <c:v>1.8050867344175799E-5</c:v>
                </c:pt>
                <c:pt idx="26">
                  <c:v>0.55135905721345702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E-4192-8833-A498211AFEBD}"/>
            </c:ext>
          </c:extLst>
        </c:ser>
        <c:ser>
          <c:idx val="1"/>
          <c:order val="1"/>
          <c:tx>
            <c:strRef>
              <c:f>TE_discrete_percentages!$A$3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TE_discrete_percentages!$X$1:$AY$1</c:f>
              <c:strCache>
                <c:ptCount val="28"/>
                <c:pt idx="0">
                  <c:v>triad_01_anno01</c:v>
                </c:pt>
                <c:pt idx="1">
                  <c:v>triad_01_anno02</c:v>
                </c:pt>
                <c:pt idx="2">
                  <c:v>triad_02_anno01</c:v>
                </c:pt>
                <c:pt idx="3">
                  <c:v>triad_02_anno02</c:v>
                </c:pt>
                <c:pt idx="4">
                  <c:v>triad_03_anno01</c:v>
                </c:pt>
                <c:pt idx="5">
                  <c:v>triad_03_anno02</c:v>
                </c:pt>
                <c:pt idx="6">
                  <c:v>triad_04_anno01</c:v>
                </c:pt>
                <c:pt idx="7">
                  <c:v>triad_04_anno02</c:v>
                </c:pt>
                <c:pt idx="8">
                  <c:v>triad_05_anno01</c:v>
                </c:pt>
                <c:pt idx="9">
                  <c:v>triad_05_anno02</c:v>
                </c:pt>
                <c:pt idx="10">
                  <c:v>triad_06_anno01</c:v>
                </c:pt>
                <c:pt idx="11">
                  <c:v>triad_06_anno02</c:v>
                </c:pt>
                <c:pt idx="12">
                  <c:v>triad_07_anno01</c:v>
                </c:pt>
                <c:pt idx="13">
                  <c:v>triad_07_anno02</c:v>
                </c:pt>
                <c:pt idx="14">
                  <c:v>triad_08_anno01</c:v>
                </c:pt>
                <c:pt idx="15">
                  <c:v>triad_08_anno02</c:v>
                </c:pt>
                <c:pt idx="16">
                  <c:v>triad_09_anno01</c:v>
                </c:pt>
                <c:pt idx="17">
                  <c:v>triad_09_anno02</c:v>
                </c:pt>
                <c:pt idx="18">
                  <c:v>triad_10_anno01</c:v>
                </c:pt>
                <c:pt idx="19">
                  <c:v>triad_10_anno02</c:v>
                </c:pt>
                <c:pt idx="20">
                  <c:v>triad_11_anno01</c:v>
                </c:pt>
                <c:pt idx="21">
                  <c:v>triad_11_anno02</c:v>
                </c:pt>
                <c:pt idx="22">
                  <c:v>triad_12_anno01</c:v>
                </c:pt>
                <c:pt idx="23">
                  <c:v>triad_12_anno02</c:v>
                </c:pt>
                <c:pt idx="24">
                  <c:v>triad_13_anno01</c:v>
                </c:pt>
                <c:pt idx="25">
                  <c:v>triad_13_anno02</c:v>
                </c:pt>
                <c:pt idx="26">
                  <c:v>triad_14_anno01</c:v>
                </c:pt>
                <c:pt idx="27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TE_discrete_percentages!$B$3:$AY$3</c15:sqref>
                  </c15:fullRef>
                </c:ext>
              </c:extLst>
              <c:f>TE_discrete_percentages!$X$3:$AY$3</c:f>
              <c:numCache>
                <c:formatCode>General</c:formatCode>
                <c:ptCount val="28"/>
                <c:pt idx="0">
                  <c:v>0.132581607713184</c:v>
                </c:pt>
                <c:pt idx="1">
                  <c:v>0.42942825868557899</c:v>
                </c:pt>
                <c:pt idx="2">
                  <c:v>4.01908697363242E-2</c:v>
                </c:pt>
                <c:pt idx="3">
                  <c:v>0.83183293978748496</c:v>
                </c:pt>
                <c:pt idx="4">
                  <c:v>8.6555800440793404E-2</c:v>
                </c:pt>
                <c:pt idx="5">
                  <c:v>0.52660242982823602</c:v>
                </c:pt>
                <c:pt idx="6">
                  <c:v>0.16477623582176801</c:v>
                </c:pt>
                <c:pt idx="7">
                  <c:v>0.73385550391627896</c:v>
                </c:pt>
                <c:pt idx="8">
                  <c:v>0.28904012083123498</c:v>
                </c:pt>
                <c:pt idx="9">
                  <c:v>0.19338205933924699</c:v>
                </c:pt>
                <c:pt idx="10">
                  <c:v>0.20964491448342201</c:v>
                </c:pt>
                <c:pt idx="11">
                  <c:v>0.65326104403345697</c:v>
                </c:pt>
                <c:pt idx="12">
                  <c:v>0.218027636586549</c:v>
                </c:pt>
                <c:pt idx="13">
                  <c:v>0.142167505299992</c:v>
                </c:pt>
                <c:pt idx="14">
                  <c:v>0.15169147100961899</c:v>
                </c:pt>
                <c:pt idx="15">
                  <c:v>8.8886289874564994E-3</c:v>
                </c:pt>
                <c:pt idx="16">
                  <c:v>0.22900704872816399</c:v>
                </c:pt>
                <c:pt idx="17">
                  <c:v>0.74989784451935804</c:v>
                </c:pt>
                <c:pt idx="18">
                  <c:v>0.33970363079615001</c:v>
                </c:pt>
                <c:pt idx="19">
                  <c:v>0.21926946631670999</c:v>
                </c:pt>
                <c:pt idx="20">
                  <c:v>0.71232550383534199</c:v>
                </c:pt>
                <c:pt idx="21">
                  <c:v>0.10138644051646099</c:v>
                </c:pt>
                <c:pt idx="22">
                  <c:v>0.20410306508731199</c:v>
                </c:pt>
                <c:pt idx="23">
                  <c:v>0.41164977408719</c:v>
                </c:pt>
                <c:pt idx="24">
                  <c:v>0.26164732215382902</c:v>
                </c:pt>
                <c:pt idx="25">
                  <c:v>0.240491705626455</c:v>
                </c:pt>
                <c:pt idx="26">
                  <c:v>0.36618513590572099</c:v>
                </c:pt>
                <c:pt idx="27">
                  <c:v>0.64521954001140402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E-4192-8833-A498211AFEBD}"/>
            </c:ext>
          </c:extLst>
        </c:ser>
        <c:ser>
          <c:idx val="2"/>
          <c:order val="2"/>
          <c:tx>
            <c:strRef>
              <c:f>TE_discrete_percentages!$A$4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TE_discrete_percentages!$X$1:$AY$1</c:f>
              <c:strCache>
                <c:ptCount val="28"/>
                <c:pt idx="0">
                  <c:v>triad_01_anno01</c:v>
                </c:pt>
                <c:pt idx="1">
                  <c:v>triad_01_anno02</c:v>
                </c:pt>
                <c:pt idx="2">
                  <c:v>triad_02_anno01</c:v>
                </c:pt>
                <c:pt idx="3">
                  <c:v>triad_02_anno02</c:v>
                </c:pt>
                <c:pt idx="4">
                  <c:v>triad_03_anno01</c:v>
                </c:pt>
                <c:pt idx="5">
                  <c:v>triad_03_anno02</c:v>
                </c:pt>
                <c:pt idx="6">
                  <c:v>triad_04_anno01</c:v>
                </c:pt>
                <c:pt idx="7">
                  <c:v>triad_04_anno02</c:v>
                </c:pt>
                <c:pt idx="8">
                  <c:v>triad_05_anno01</c:v>
                </c:pt>
                <c:pt idx="9">
                  <c:v>triad_05_anno02</c:v>
                </c:pt>
                <c:pt idx="10">
                  <c:v>triad_06_anno01</c:v>
                </c:pt>
                <c:pt idx="11">
                  <c:v>triad_06_anno02</c:v>
                </c:pt>
                <c:pt idx="12">
                  <c:v>triad_07_anno01</c:v>
                </c:pt>
                <c:pt idx="13">
                  <c:v>triad_07_anno02</c:v>
                </c:pt>
                <c:pt idx="14">
                  <c:v>triad_08_anno01</c:v>
                </c:pt>
                <c:pt idx="15">
                  <c:v>triad_08_anno02</c:v>
                </c:pt>
                <c:pt idx="16">
                  <c:v>triad_09_anno01</c:v>
                </c:pt>
                <c:pt idx="17">
                  <c:v>triad_09_anno02</c:v>
                </c:pt>
                <c:pt idx="18">
                  <c:v>triad_10_anno01</c:v>
                </c:pt>
                <c:pt idx="19">
                  <c:v>triad_10_anno02</c:v>
                </c:pt>
                <c:pt idx="20">
                  <c:v>triad_11_anno01</c:v>
                </c:pt>
                <c:pt idx="21">
                  <c:v>triad_11_anno02</c:v>
                </c:pt>
                <c:pt idx="22">
                  <c:v>triad_12_anno01</c:v>
                </c:pt>
                <c:pt idx="23">
                  <c:v>triad_12_anno02</c:v>
                </c:pt>
                <c:pt idx="24">
                  <c:v>triad_13_anno01</c:v>
                </c:pt>
                <c:pt idx="25">
                  <c:v>triad_13_anno02</c:v>
                </c:pt>
                <c:pt idx="26">
                  <c:v>triad_14_anno01</c:v>
                </c:pt>
                <c:pt idx="27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TE_discrete_percentages!$B$4:$AY$4</c15:sqref>
                  </c15:fullRef>
                </c:ext>
              </c:extLst>
              <c:f>TE_discrete_percentages!$X$4:$AY$4</c:f>
              <c:numCache>
                <c:formatCode>General</c:formatCode>
                <c:ptCount val="28"/>
                <c:pt idx="0">
                  <c:v>0.42654930950203102</c:v>
                </c:pt>
                <c:pt idx="1">
                  <c:v>0.55571216505975296</c:v>
                </c:pt>
                <c:pt idx="2">
                  <c:v>0.16135379771743399</c:v>
                </c:pt>
                <c:pt idx="3">
                  <c:v>0.15493408107044401</c:v>
                </c:pt>
                <c:pt idx="4">
                  <c:v>0.22689932788109499</c:v>
                </c:pt>
                <c:pt idx="5">
                  <c:v>0.47330649714941397</c:v>
                </c:pt>
                <c:pt idx="6">
                  <c:v>0.15010237576781801</c:v>
                </c:pt>
                <c:pt idx="7">
                  <c:v>0.23382300367252701</c:v>
                </c:pt>
                <c:pt idx="8">
                  <c:v>7.3175812919914499E-2</c:v>
                </c:pt>
                <c:pt idx="9">
                  <c:v>0.46933212965052601</c:v>
                </c:pt>
                <c:pt idx="10">
                  <c:v>7.6367462681243406E-2</c:v>
                </c:pt>
                <c:pt idx="11">
                  <c:v>0.33065220880669099</c:v>
                </c:pt>
                <c:pt idx="12">
                  <c:v>0.42456131388725699</c:v>
                </c:pt>
                <c:pt idx="13">
                  <c:v>0.70496283619830902</c:v>
                </c:pt>
                <c:pt idx="14">
                  <c:v>0.78515248092161005</c:v>
                </c:pt>
                <c:pt idx="15">
                  <c:v>0.97105347796847996</c:v>
                </c:pt>
                <c:pt idx="16">
                  <c:v>7.8608642353662203E-2</c:v>
                </c:pt>
                <c:pt idx="17">
                  <c:v>0.24384513229134699</c:v>
                </c:pt>
                <c:pt idx="18">
                  <c:v>0.33051727909011303</c:v>
                </c:pt>
                <c:pt idx="19">
                  <c:v>0.749234470691163</c:v>
                </c:pt>
                <c:pt idx="20">
                  <c:v>7.3467054171232504E-2</c:v>
                </c:pt>
                <c:pt idx="21">
                  <c:v>0.89861355948353905</c:v>
                </c:pt>
                <c:pt idx="22">
                  <c:v>6.8042496031261404E-2</c:v>
                </c:pt>
                <c:pt idx="23">
                  <c:v>0.58063255586762696</c:v>
                </c:pt>
                <c:pt idx="24">
                  <c:v>3.9621653820466E-2</c:v>
                </c:pt>
                <c:pt idx="25">
                  <c:v>0.75230599830321798</c:v>
                </c:pt>
                <c:pt idx="26">
                  <c:v>8.2455806880821103E-2</c:v>
                </c:pt>
                <c:pt idx="27">
                  <c:v>0.33835772666793301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E-4192-8833-A498211A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061584"/>
        <c:axId val="252073104"/>
      </c:barChart>
      <c:catAx>
        <c:axId val="25206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3104"/>
        <c:crosses val="autoZero"/>
        <c:auto val="1"/>
        <c:lblAlgn val="ctr"/>
        <c:lblOffset val="100"/>
        <c:noMultiLvlLbl val="0"/>
      </c:catAx>
      <c:valAx>
        <c:axId val="2520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Triads Anno:</a:t>
            </a:r>
            <a:r>
              <a:rPr lang="en-GB" baseline="0"/>
              <a:t> Helen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TE_discrete_percentages!$A$2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X$1,TE_discrete_percentages!$Z$1,TE_discrete_percentages!$AB$1,TE_discrete_percentages!$AD$1,TE_discrete_percentages!$AF$1,TE_discrete_percentages!$AH$1,TE_discrete_percentages!$AJ$1,TE_discrete_percentages!$AL$1,TE_discrete_percentages!$AN$1,TE_discrete_percentages!$AP$1,TE_discrete_percentages!$AR$1,TE_discrete_percentages!$AT$1,TE_discrete_percentages!$AV$1,TE_discrete_percentages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TE_discrete_percentages!$B$2:$AY$2</c15:sqref>
                  </c15:fullRef>
                </c:ext>
              </c:extLst>
              <c:f>(TE_discrete_percentages!$X$2,TE_discrete_percentages!$Z$2,TE_discrete_percentages!$AB$2,TE_discrete_percentages!$AD$2,TE_discrete_percentages!$AF$2,TE_discrete_percentages!$AH$2,TE_discrete_percentages!$AJ$2,TE_discrete_percentages!$AL$2,TE_discrete_percentages!$AN$2,TE_discrete_percentages!$AP$2,TE_discrete_percentages!$AR$2,TE_discrete_percentages!$AT$2,TE_discrete_percentages!$AV$2,TE_discrete_percentages!$AX$2)</c:f>
              <c:numCache>
                <c:formatCode>General</c:formatCode>
                <c:ptCount val="14"/>
                <c:pt idx="0">
                  <c:v>0.43328185212397402</c:v>
                </c:pt>
                <c:pt idx="1">
                  <c:v>0.79845533254624101</c:v>
                </c:pt>
                <c:pt idx="2">
                  <c:v>0.68654487167811096</c:v>
                </c:pt>
                <c:pt idx="3">
                  <c:v>0.68512138841041303</c:v>
                </c:pt>
                <c:pt idx="4">
                  <c:v>0.63778406624884898</c:v>
                </c:pt>
                <c:pt idx="5">
                  <c:v>0.71398762283533301</c:v>
                </c:pt>
                <c:pt idx="6">
                  <c:v>0.35741104952619301</c:v>
                </c:pt>
                <c:pt idx="7">
                  <c:v>6.3156048068769899E-2</c:v>
                </c:pt>
                <c:pt idx="8">
                  <c:v>0.69235877004801305</c:v>
                </c:pt>
                <c:pt idx="9">
                  <c:v>0.32977909011373502</c:v>
                </c:pt>
                <c:pt idx="10">
                  <c:v>0.21420744199342501</c:v>
                </c:pt>
                <c:pt idx="11">
                  <c:v>0.72785443888142598</c:v>
                </c:pt>
                <c:pt idx="12">
                  <c:v>0.69873102402570397</c:v>
                </c:pt>
                <c:pt idx="13">
                  <c:v>0.55135905721345702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8-4E3E-9E48-4A3ABF16DA0F}"/>
            </c:ext>
          </c:extLst>
        </c:ser>
        <c:ser>
          <c:idx val="1"/>
          <c:order val="1"/>
          <c:tx>
            <c:strRef>
              <c:f>TE_discrete_percentages!$A$3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X$1,TE_discrete_percentages!$Z$1,TE_discrete_percentages!$AB$1,TE_discrete_percentages!$AD$1,TE_discrete_percentages!$AF$1,TE_discrete_percentages!$AH$1,TE_discrete_percentages!$AJ$1,TE_discrete_percentages!$AL$1,TE_discrete_percentages!$AN$1,TE_discrete_percentages!$AP$1,TE_discrete_percentages!$AR$1,TE_discrete_percentages!$AT$1,TE_discrete_percentages!$AV$1,TE_discrete_percentages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TE_discrete_percentages!$B$3:$AY$3</c15:sqref>
                  </c15:fullRef>
                </c:ext>
              </c:extLst>
              <c:f>(TE_discrete_percentages!$X$3,TE_discrete_percentages!$Z$3,TE_discrete_percentages!$AB$3,TE_discrete_percentages!$AD$3,TE_discrete_percentages!$AF$3,TE_discrete_percentages!$AH$3,TE_discrete_percentages!$AJ$3,TE_discrete_percentages!$AL$3,TE_discrete_percentages!$AN$3,TE_discrete_percentages!$AP$3,TE_discrete_percentages!$AR$3,TE_discrete_percentages!$AT$3,TE_discrete_percentages!$AV$3,TE_discrete_percentages!$AX$3)</c:f>
              <c:numCache>
                <c:formatCode>General</c:formatCode>
                <c:ptCount val="14"/>
                <c:pt idx="0">
                  <c:v>0.132581607713184</c:v>
                </c:pt>
                <c:pt idx="1">
                  <c:v>4.01908697363242E-2</c:v>
                </c:pt>
                <c:pt idx="2">
                  <c:v>8.6555800440793404E-2</c:v>
                </c:pt>
                <c:pt idx="3">
                  <c:v>0.16477623582176801</c:v>
                </c:pt>
                <c:pt idx="4">
                  <c:v>0.28904012083123498</c:v>
                </c:pt>
                <c:pt idx="5">
                  <c:v>0.20964491448342201</c:v>
                </c:pt>
                <c:pt idx="6">
                  <c:v>0.218027636586549</c:v>
                </c:pt>
                <c:pt idx="7">
                  <c:v>0.15169147100961899</c:v>
                </c:pt>
                <c:pt idx="8">
                  <c:v>0.22900704872816399</c:v>
                </c:pt>
                <c:pt idx="9">
                  <c:v>0.33970363079615001</c:v>
                </c:pt>
                <c:pt idx="10">
                  <c:v>0.71232550383534199</c:v>
                </c:pt>
                <c:pt idx="11">
                  <c:v>0.20410306508731199</c:v>
                </c:pt>
                <c:pt idx="12">
                  <c:v>0.26164732215382902</c:v>
                </c:pt>
                <c:pt idx="13">
                  <c:v>0.36618513590572099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8-4E3E-9E48-4A3ABF16DA0F}"/>
            </c:ext>
          </c:extLst>
        </c:ser>
        <c:ser>
          <c:idx val="2"/>
          <c:order val="2"/>
          <c:tx>
            <c:strRef>
              <c:f>TE_discrete_percentages!$A$4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X$1,TE_discrete_percentages!$Z$1,TE_discrete_percentages!$AB$1,TE_discrete_percentages!$AD$1,TE_discrete_percentages!$AF$1,TE_discrete_percentages!$AH$1,TE_discrete_percentages!$AJ$1,TE_discrete_percentages!$AL$1,TE_discrete_percentages!$AN$1,TE_discrete_percentages!$AP$1,TE_discrete_percentages!$AR$1,TE_discrete_percentages!$AT$1,TE_discrete_percentages!$AV$1,TE_discrete_percentages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TE_discrete_percentages!$B$4:$AY$4</c15:sqref>
                  </c15:fullRef>
                </c:ext>
              </c:extLst>
              <c:f>(TE_discrete_percentages!$X$4,TE_discrete_percentages!$Z$4,TE_discrete_percentages!$AB$4,TE_discrete_percentages!$AD$4,TE_discrete_percentages!$AF$4,TE_discrete_percentages!$AH$4,TE_discrete_percentages!$AJ$4,TE_discrete_percentages!$AL$4,TE_discrete_percentages!$AN$4,TE_discrete_percentages!$AP$4,TE_discrete_percentages!$AR$4,TE_discrete_percentages!$AT$4,TE_discrete_percentages!$AV$4,TE_discrete_percentages!$AX$4)</c:f>
              <c:numCache>
                <c:formatCode>General</c:formatCode>
                <c:ptCount val="14"/>
                <c:pt idx="0">
                  <c:v>0.42654930950203102</c:v>
                </c:pt>
                <c:pt idx="1">
                  <c:v>0.16135379771743399</c:v>
                </c:pt>
                <c:pt idx="2">
                  <c:v>0.22689932788109499</c:v>
                </c:pt>
                <c:pt idx="3">
                  <c:v>0.15010237576781801</c:v>
                </c:pt>
                <c:pt idx="4">
                  <c:v>7.3175812919914499E-2</c:v>
                </c:pt>
                <c:pt idx="5">
                  <c:v>7.6367462681243406E-2</c:v>
                </c:pt>
                <c:pt idx="6">
                  <c:v>0.42456131388725699</c:v>
                </c:pt>
                <c:pt idx="7">
                  <c:v>0.78515248092161005</c:v>
                </c:pt>
                <c:pt idx="8">
                  <c:v>7.8608642353662203E-2</c:v>
                </c:pt>
                <c:pt idx="9">
                  <c:v>0.33051727909011303</c:v>
                </c:pt>
                <c:pt idx="10">
                  <c:v>7.3467054171232504E-2</c:v>
                </c:pt>
                <c:pt idx="11">
                  <c:v>6.8042496031261404E-2</c:v>
                </c:pt>
                <c:pt idx="12">
                  <c:v>3.9621653820466E-2</c:v>
                </c:pt>
                <c:pt idx="13">
                  <c:v>8.2455806880821103E-2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28-4E3E-9E48-4A3ABF16D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061584"/>
        <c:axId val="252073104"/>
      </c:barChart>
      <c:catAx>
        <c:axId val="25206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3104"/>
        <c:crosses val="autoZero"/>
        <c:auto val="1"/>
        <c:lblAlgn val="ctr"/>
        <c:lblOffset val="100"/>
        <c:noMultiLvlLbl val="0"/>
      </c:catAx>
      <c:valAx>
        <c:axId val="2520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Triads AnnoL</a:t>
            </a:r>
            <a:r>
              <a:rPr lang="en-GB" baseline="0"/>
              <a:t> Laura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TE_discrete_percentages!$A$2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Y$1,TE_discrete_percentages!$AA$1,TE_discrete_percentages!$AC$1,TE_discrete_percentages!$AE$1,TE_discrete_percentages!$AG$1,TE_discrete_percentages!$AI$1,TE_discrete_percentages!$AK$1,TE_discrete_percentages!$AM$1,TE_discrete_percentages!$AO$1,TE_discrete_percentages!$AQ$1,TE_discrete_percentages!$AS$1,TE_discrete_percentages!$AU$1,TE_discrete_percentages!$AW$1,TE_discrete_percentages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TE_discrete_percentages!$B$2:$AY$2</c15:sqref>
                  </c15:fullRef>
                </c:ext>
              </c:extLst>
              <c:f>(TE_discrete_percentages!$Y$2,TE_discrete_percentages!$AA$2,TE_discrete_percentages!$AC$2,TE_discrete_percentages!$AE$2,TE_discrete_percentages!$AG$2,TE_discrete_percentages!$AI$2,TE_discrete_percentages!$AK$2,TE_discrete_percentages!$AM$2,TE_discrete_percentages!$AO$2,TE_discrete_percentages!$AQ$2,TE_discrete_percentages!$AS$2,TE_discrete_percentages!$AU$2,TE_discrete_percentages!$AW$2,TE_discrete_percentages!$AY$2)</c:f>
              <c:numCache>
                <c:formatCode>General</c:formatCode>
                <c:ptCount val="14"/>
                <c:pt idx="0">
                  <c:v>0</c:v>
                </c:pt>
                <c:pt idx="1">
                  <c:v>1.323297914207E-2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2.6751796829020298E-3</c:v>
                </c:pt>
                <c:pt idx="6">
                  <c:v>0</c:v>
                </c:pt>
                <c:pt idx="7">
                  <c:v>0</c:v>
                </c:pt>
                <c:pt idx="8">
                  <c:v>6.2059454489733299E-3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E+00">
                  <c:v>1.8050867344175799E-5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A-4038-AB5E-765CE05E443E}"/>
            </c:ext>
          </c:extLst>
        </c:ser>
        <c:ser>
          <c:idx val="1"/>
          <c:order val="1"/>
          <c:tx>
            <c:strRef>
              <c:f>TE_discrete_percentages!$A$3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Y$1,TE_discrete_percentages!$AA$1,TE_discrete_percentages!$AC$1,TE_discrete_percentages!$AE$1,TE_discrete_percentages!$AG$1,TE_discrete_percentages!$AI$1,TE_discrete_percentages!$AK$1,TE_discrete_percentages!$AM$1,TE_discrete_percentages!$AO$1,TE_discrete_percentages!$AQ$1,TE_discrete_percentages!$AS$1,TE_discrete_percentages!$AU$1,TE_discrete_percentages!$AW$1,TE_discrete_percentages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TE_discrete_percentages!$B$3:$AY$3</c15:sqref>
                  </c15:fullRef>
                </c:ext>
              </c:extLst>
              <c:f>(TE_discrete_percentages!$Y$3,TE_discrete_percentages!$AA$3,TE_discrete_percentages!$AC$3,TE_discrete_percentages!$AE$3,TE_discrete_percentages!$AG$3,TE_discrete_percentages!$AI$3,TE_discrete_percentages!$AK$3,TE_discrete_percentages!$AM$3,TE_discrete_percentages!$AO$3,TE_discrete_percentages!$AQ$3,TE_discrete_percentages!$AS$3,TE_discrete_percentages!$AU$3,TE_discrete_percentages!$AW$3,TE_discrete_percentages!$AY$3)</c:f>
              <c:numCache>
                <c:formatCode>General</c:formatCode>
                <c:ptCount val="14"/>
                <c:pt idx="0">
                  <c:v>0.42942825868557899</c:v>
                </c:pt>
                <c:pt idx="1">
                  <c:v>0.83183293978748496</c:v>
                </c:pt>
                <c:pt idx="2">
                  <c:v>0.52660242982823602</c:v>
                </c:pt>
                <c:pt idx="3">
                  <c:v>0.73385550391627896</c:v>
                </c:pt>
                <c:pt idx="4">
                  <c:v>0.19338205933924699</c:v>
                </c:pt>
                <c:pt idx="5">
                  <c:v>0.65326104403345697</c:v>
                </c:pt>
                <c:pt idx="6">
                  <c:v>0.142167505299992</c:v>
                </c:pt>
                <c:pt idx="7">
                  <c:v>8.8886289874564994E-3</c:v>
                </c:pt>
                <c:pt idx="8">
                  <c:v>0.74989784451935804</c:v>
                </c:pt>
                <c:pt idx="9">
                  <c:v>0.21926946631670999</c:v>
                </c:pt>
                <c:pt idx="10">
                  <c:v>0.10138644051646099</c:v>
                </c:pt>
                <c:pt idx="11">
                  <c:v>0.41164977408719</c:v>
                </c:pt>
                <c:pt idx="12">
                  <c:v>0.240491705626455</c:v>
                </c:pt>
                <c:pt idx="13">
                  <c:v>0.64521954001140402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8A-4038-AB5E-765CE05E443E}"/>
            </c:ext>
          </c:extLst>
        </c:ser>
        <c:ser>
          <c:idx val="2"/>
          <c:order val="2"/>
          <c:tx>
            <c:strRef>
              <c:f>TE_discrete_percentages!$A$4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Y$1,TE_discrete_percentages!$AA$1,TE_discrete_percentages!$AC$1,TE_discrete_percentages!$AE$1,TE_discrete_percentages!$AG$1,TE_discrete_percentages!$AI$1,TE_discrete_percentages!$AK$1,TE_discrete_percentages!$AM$1,TE_discrete_percentages!$AO$1,TE_discrete_percentages!$AQ$1,TE_discrete_percentages!$AS$1,TE_discrete_percentages!$AU$1,TE_discrete_percentages!$AW$1,TE_discrete_percentages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TE_discrete_percentages!$B$4:$AY$4</c15:sqref>
                  </c15:fullRef>
                </c:ext>
              </c:extLst>
              <c:f>(TE_discrete_percentages!$Y$4,TE_discrete_percentages!$AA$4,TE_discrete_percentages!$AC$4,TE_discrete_percentages!$AE$4,TE_discrete_percentages!$AG$4,TE_discrete_percentages!$AI$4,TE_discrete_percentages!$AK$4,TE_discrete_percentages!$AM$4,TE_discrete_percentages!$AO$4,TE_discrete_percentages!$AQ$4,TE_discrete_percentages!$AS$4,TE_discrete_percentages!$AU$4,TE_discrete_percentages!$AW$4,TE_discrete_percentages!$AY$4)</c:f>
              <c:numCache>
                <c:formatCode>General</c:formatCode>
                <c:ptCount val="14"/>
                <c:pt idx="0">
                  <c:v>0.55571216505975296</c:v>
                </c:pt>
                <c:pt idx="1">
                  <c:v>0.15493408107044401</c:v>
                </c:pt>
                <c:pt idx="2">
                  <c:v>0.47330649714941397</c:v>
                </c:pt>
                <c:pt idx="3">
                  <c:v>0.23382300367252701</c:v>
                </c:pt>
                <c:pt idx="4">
                  <c:v>0.46933212965052601</c:v>
                </c:pt>
                <c:pt idx="5">
                  <c:v>0.33065220880669099</c:v>
                </c:pt>
                <c:pt idx="6">
                  <c:v>0.70496283619830902</c:v>
                </c:pt>
                <c:pt idx="7">
                  <c:v>0.97105347796847996</c:v>
                </c:pt>
                <c:pt idx="8">
                  <c:v>0.24384513229134699</c:v>
                </c:pt>
                <c:pt idx="9">
                  <c:v>0.749234470691163</c:v>
                </c:pt>
                <c:pt idx="10">
                  <c:v>0.89861355948353905</c:v>
                </c:pt>
                <c:pt idx="11">
                  <c:v>0.58063255586762696</c:v>
                </c:pt>
                <c:pt idx="12">
                  <c:v>0.75230599830321798</c:v>
                </c:pt>
                <c:pt idx="13">
                  <c:v>0.33835772666793301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8A-4038-AB5E-765CE05E4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061584"/>
        <c:axId val="252073104"/>
      </c:barChart>
      <c:catAx>
        <c:axId val="25206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3104"/>
        <c:crosses val="autoZero"/>
        <c:auto val="1"/>
        <c:lblAlgn val="ctr"/>
        <c:lblOffset val="100"/>
        <c:noMultiLvlLbl val="0"/>
      </c:catAx>
      <c:valAx>
        <c:axId val="2520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Dyads Anno:</a:t>
            </a:r>
            <a:r>
              <a:rPr lang="en-GB" baseline="0"/>
              <a:t> Helen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TE_discrete_percentages!$A$2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B$1,TE_discrete_percentages!$D$1,TE_discrete_percentages!$F$1,TE_discrete_percentages!$H$1,TE_discrete_percentages!$J$1,TE_discrete_percentages!$L$1,TE_discrete_percentages!$N$1,TE_discrete_percentages!$P$1,TE_discrete_percentages!$R$1,TE_discrete_percentages!$T$1,TE_discrete_percentages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TE_discrete_percentages!$B$2:$AY$2</c15:sqref>
                  </c15:fullRef>
                </c:ext>
              </c:extLst>
              <c:f>(TE_discrete_percentages!$B$2,TE_discrete_percentages!$D$2,TE_discrete_percentages!$F$2,TE_discrete_percentages!$H$2,TE_discrete_percentages!$J$2,TE_discrete_percentages!$L$2,TE_discrete_percentages!$N$2,TE_discrete_percentages!$P$2,TE_discrete_percentages!$R$2,TE_discrete_percentages!$T$2,TE_discrete_percentages!$V$2)</c:f>
              <c:numCache>
                <c:formatCode>General</c:formatCode>
                <c:ptCount val="11"/>
                <c:pt idx="0">
                  <c:v>0.69790045944610202</c:v>
                </c:pt>
                <c:pt idx="1">
                  <c:v>0.47961134477407102</c:v>
                </c:pt>
                <c:pt idx="2">
                  <c:v>0.74818318506452797</c:v>
                </c:pt>
                <c:pt idx="3">
                  <c:v>0.66684062557869395</c:v>
                </c:pt>
                <c:pt idx="4">
                  <c:v>0.43899452362325198</c:v>
                </c:pt>
                <c:pt idx="5">
                  <c:v>0.92854612515368096</c:v>
                </c:pt>
                <c:pt idx="6">
                  <c:v>0.695354742861091</c:v>
                </c:pt>
                <c:pt idx="7">
                  <c:v>0.355864269062453</c:v>
                </c:pt>
                <c:pt idx="8">
                  <c:v>0.123857234751759</c:v>
                </c:pt>
                <c:pt idx="9">
                  <c:v>0.116140428350629</c:v>
                </c:pt>
                <c:pt idx="10">
                  <c:v>0.60213659380017204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1-4F0D-8698-BBA61D7351F5}"/>
            </c:ext>
          </c:extLst>
        </c:ser>
        <c:ser>
          <c:idx val="1"/>
          <c:order val="1"/>
          <c:tx>
            <c:strRef>
              <c:f>TE_discrete_percentages!$A$3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B$1,TE_discrete_percentages!$D$1,TE_discrete_percentages!$F$1,TE_discrete_percentages!$H$1,TE_discrete_percentages!$J$1,TE_discrete_percentages!$L$1,TE_discrete_percentages!$N$1,TE_discrete_percentages!$P$1,TE_discrete_percentages!$R$1,TE_discrete_percentages!$T$1,TE_discrete_percentages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TE_discrete_percentages!$B$3:$AY$3</c15:sqref>
                  </c15:fullRef>
                </c:ext>
              </c:extLst>
              <c:f>(TE_discrete_percentages!$B$3,TE_discrete_percentages!$D$3,TE_discrete_percentages!$F$3,TE_discrete_percentages!$H$3,TE_discrete_percentages!$J$3,TE_discrete_percentages!$L$3,TE_discrete_percentages!$N$3,TE_discrete_percentages!$P$3,TE_discrete_percentages!$R$3,TE_discrete_percentages!$T$3,TE_discrete_percentages!$V$3)</c:f>
              <c:numCache>
                <c:formatCode>General</c:formatCode>
                <c:ptCount val="11"/>
                <c:pt idx="0">
                  <c:v>0.15031758525379299</c:v>
                </c:pt>
                <c:pt idx="1">
                  <c:v>0.14992915139110599</c:v>
                </c:pt>
                <c:pt idx="2">
                  <c:v>0.143731988472622</c:v>
                </c:pt>
                <c:pt idx="3">
                  <c:v>0.13700106058820499</c:v>
                </c:pt>
                <c:pt idx="4">
                  <c:v>0.30067349229565599</c:v>
                </c:pt>
                <c:pt idx="5">
                  <c:v>1.1044197628623201E-2</c:v>
                </c:pt>
                <c:pt idx="6">
                  <c:v>0.110888455093544</c:v>
                </c:pt>
                <c:pt idx="7">
                  <c:v>0.46749192240051202</c:v>
                </c:pt>
                <c:pt idx="8">
                  <c:v>0.25069686750745601</c:v>
                </c:pt>
                <c:pt idx="9">
                  <c:v>0.22885846765290299</c:v>
                </c:pt>
                <c:pt idx="10">
                  <c:v>0.34173150549586201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51-4F0D-8698-BBA61D7351F5}"/>
            </c:ext>
          </c:extLst>
        </c:ser>
        <c:ser>
          <c:idx val="2"/>
          <c:order val="2"/>
          <c:tx>
            <c:strRef>
              <c:f>TE_discrete_percentages!$A$4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B$1,TE_discrete_percentages!$D$1,TE_discrete_percentages!$F$1,TE_discrete_percentages!$H$1,TE_discrete_percentages!$J$1,TE_discrete_percentages!$L$1,TE_discrete_percentages!$N$1,TE_discrete_percentages!$P$1,TE_discrete_percentages!$R$1,TE_discrete_percentages!$T$1,TE_discrete_percentages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TE_discrete_percentages!$B$4:$AY$4</c15:sqref>
                  </c15:fullRef>
                </c:ext>
              </c:extLst>
              <c:f>(TE_discrete_percentages!$B$4,TE_discrete_percentages!$D$4,TE_discrete_percentages!$F$4,TE_discrete_percentages!$H$4,TE_discrete_percentages!$J$4,TE_discrete_percentages!$L$4,TE_discrete_percentages!$N$4,TE_discrete_percentages!$P$4,TE_discrete_percentages!$R$4,TE_discrete_percentages!$T$4,TE_discrete_percentages!$V$4)</c:f>
              <c:numCache>
                <c:formatCode>General</c:formatCode>
                <c:ptCount val="11"/>
                <c:pt idx="0">
                  <c:v>0.15178195530010399</c:v>
                </c:pt>
                <c:pt idx="1">
                  <c:v>0.37045950383482101</c:v>
                </c:pt>
                <c:pt idx="2">
                  <c:v>0.108069164265129</c:v>
                </c:pt>
                <c:pt idx="3">
                  <c:v>0.19615831383310001</c:v>
                </c:pt>
                <c:pt idx="4">
                  <c:v>0.25801898023742298</c:v>
                </c:pt>
                <c:pt idx="5">
                  <c:v>6.0388839108962401E-2</c:v>
                </c:pt>
                <c:pt idx="6">
                  <c:v>0.19373952700951799</c:v>
                </c:pt>
                <c:pt idx="7">
                  <c:v>0.17664380853703401</c:v>
                </c:pt>
                <c:pt idx="8">
                  <c:v>0.62544589774078396</c:v>
                </c:pt>
                <c:pt idx="9">
                  <c:v>0.65381430779421501</c:v>
                </c:pt>
                <c:pt idx="10">
                  <c:v>5.6131900703964399E-2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51-4F0D-8698-BBA61D735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061584"/>
        <c:axId val="252073104"/>
      </c:barChart>
      <c:catAx>
        <c:axId val="25206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3104"/>
        <c:crosses val="autoZero"/>
        <c:auto val="1"/>
        <c:lblAlgn val="ctr"/>
        <c:lblOffset val="100"/>
        <c:noMultiLvlLbl val="0"/>
      </c:catAx>
      <c:valAx>
        <c:axId val="2520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Dyads Anno:</a:t>
            </a:r>
            <a:r>
              <a:rPr lang="en-GB" baseline="0"/>
              <a:t> Laura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TE_discrete_percentages!$A$2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C$1,TE_discrete_percentages!$E$1,TE_discrete_percentages!$G$1,TE_discrete_percentages!$I$1,TE_discrete_percentages!$K$1,TE_discrete_percentages!$M$1,TE_discrete_percentages!$O$1,TE_discrete_percentages!$Q$1,TE_discrete_percentages!$S$1,TE_discrete_percentages!$U$1,TE_discrete_percentages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TE_discrete_percentages!$B$2:$AY$2</c15:sqref>
                  </c15:fullRef>
                </c:ext>
              </c:extLst>
              <c:f>(TE_discrete_percentages!$C$2,TE_discrete_percentages!$E$2,TE_discrete_percentages!$G$2,TE_discrete_percentages!$I$2,TE_discrete_percentages!$K$2,TE_discrete_percentages!$M$2,TE_discrete_percentages!$O$2,TE_discrete_percentages!$Q$2,TE_discrete_percentages!$S$2,TE_discrete_percentages!$U$2,TE_discrete_percentages!$W$2)</c:f>
              <c:numCache>
                <c:formatCode>General</c:formatCode>
                <c:ptCount val="11"/>
                <c:pt idx="0">
                  <c:v>1.7078215665098501E-2</c:v>
                </c:pt>
                <c:pt idx="1">
                  <c:v>0</c:v>
                </c:pt>
                <c:pt idx="2">
                  <c:v>0</c:v>
                </c:pt>
                <c:pt idx="3">
                  <c:v>0.144879715829699</c:v>
                </c:pt>
                <c:pt idx="4">
                  <c:v>0.149256777441409</c:v>
                </c:pt>
                <c:pt idx="5">
                  <c:v>0.415991164641897</c:v>
                </c:pt>
                <c:pt idx="6">
                  <c:v>6.9791144816625406E-2</c:v>
                </c:pt>
                <c:pt idx="7">
                  <c:v>1.50645526305026E-2</c:v>
                </c:pt>
                <c:pt idx="8">
                  <c:v>0</c:v>
                </c:pt>
                <c:pt idx="9">
                  <c:v>0</c:v>
                </c:pt>
                <c:pt idx="10" formatCode="0.00E+00">
                  <c:v>4.1167510600633898E-5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F-428B-A8D7-73EA5D2EE6AA}"/>
            </c:ext>
          </c:extLst>
        </c:ser>
        <c:ser>
          <c:idx val="1"/>
          <c:order val="1"/>
          <c:tx>
            <c:strRef>
              <c:f>TE_discrete_percentages!$A$3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C$1,TE_discrete_percentages!$E$1,TE_discrete_percentages!$G$1,TE_discrete_percentages!$I$1,TE_discrete_percentages!$K$1,TE_discrete_percentages!$M$1,TE_discrete_percentages!$O$1,TE_discrete_percentages!$Q$1,TE_discrete_percentages!$S$1,TE_discrete_percentages!$U$1,TE_discrete_percentages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TE_discrete_percentages!$B$3:$AY$3</c15:sqref>
                  </c15:fullRef>
                </c:ext>
              </c:extLst>
              <c:f>(TE_discrete_percentages!$C$3,TE_discrete_percentages!$E$3,TE_discrete_percentages!$G$3,TE_discrete_percentages!$I$3,TE_discrete_percentages!$K$3,TE_discrete_percentages!$M$3,TE_discrete_percentages!$O$3,TE_discrete_percentages!$Q$3,TE_discrete_percentages!$S$3,TE_discrete_percentages!$U$3,TE_discrete_percentages!$W$3)</c:f>
              <c:numCache>
                <c:formatCode>General</c:formatCode>
                <c:ptCount val="11"/>
                <c:pt idx="0">
                  <c:v>0.65060130695026597</c:v>
                </c:pt>
                <c:pt idx="1">
                  <c:v>0.463147477564607</c:v>
                </c:pt>
                <c:pt idx="2">
                  <c:v>0.83383974439293296</c:v>
                </c:pt>
                <c:pt idx="3">
                  <c:v>0.56192656689281295</c:v>
                </c:pt>
                <c:pt idx="4">
                  <c:v>0.42270145243035401</c:v>
                </c:pt>
                <c:pt idx="5">
                  <c:v>0.53249703056950504</c:v>
                </c:pt>
                <c:pt idx="6">
                  <c:v>0.70364676006702698</c:v>
                </c:pt>
                <c:pt idx="7">
                  <c:v>0.25312538343035501</c:v>
                </c:pt>
                <c:pt idx="8">
                  <c:v>3.6646459133350198E-3</c:v>
                </c:pt>
                <c:pt idx="9">
                  <c:v>0.16824906160300199</c:v>
                </c:pt>
                <c:pt idx="10">
                  <c:v>0.33086328269729498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F-428B-A8D7-73EA5D2EE6AA}"/>
            </c:ext>
          </c:extLst>
        </c:ser>
        <c:ser>
          <c:idx val="2"/>
          <c:order val="2"/>
          <c:tx>
            <c:strRef>
              <c:f>TE_discrete_percentages!$A$4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TE_discrete_percentages!$B$1:$AY$1</c15:sqref>
                  </c15:fullRef>
                </c:ext>
              </c:extLst>
              <c:f>(TE_discrete_percentages!$C$1,TE_discrete_percentages!$E$1,TE_discrete_percentages!$G$1,TE_discrete_percentages!$I$1,TE_discrete_percentages!$K$1,TE_discrete_percentages!$M$1,TE_discrete_percentages!$O$1,TE_discrete_percentages!$Q$1,TE_discrete_percentages!$S$1,TE_discrete_percentages!$U$1,TE_discrete_percentages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TE_discrete_percentages!$B$4:$AY$4</c15:sqref>
                  </c15:fullRef>
                </c:ext>
              </c:extLst>
              <c:f>(TE_discrete_percentages!$C$4,TE_discrete_percentages!$E$4,TE_discrete_percentages!$G$4,TE_discrete_percentages!$I$4,TE_discrete_percentages!$K$4,TE_discrete_percentages!$M$4,TE_discrete_percentages!$O$4,TE_discrete_percentages!$Q$4,TE_discrete_percentages!$S$4,TE_discrete_percentages!$U$4,TE_discrete_percentages!$W$4)</c:f>
              <c:numCache>
                <c:formatCode>General</c:formatCode>
                <c:ptCount val="11"/>
                <c:pt idx="0">
                  <c:v>0.32433966063224101</c:v>
                </c:pt>
                <c:pt idx="1">
                  <c:v>0.43788938620363899</c:v>
                </c:pt>
                <c:pt idx="2">
                  <c:v>0.166128931211627</c:v>
                </c:pt>
                <c:pt idx="3">
                  <c:v>0.293193717277486</c:v>
                </c:pt>
                <c:pt idx="4">
                  <c:v>0.420881662641586</c:v>
                </c:pt>
                <c:pt idx="5">
                  <c:v>5.1220071266331803E-2</c:v>
                </c:pt>
                <c:pt idx="6">
                  <c:v>0.21787275208595999</c:v>
                </c:pt>
                <c:pt idx="7">
                  <c:v>0.69885891126228605</c:v>
                </c:pt>
                <c:pt idx="8">
                  <c:v>0.94204791329603699</c:v>
                </c:pt>
                <c:pt idx="9">
                  <c:v>0.53850187679399397</c:v>
                </c:pt>
                <c:pt idx="10">
                  <c:v>0.65760981433452703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F-428B-A8D7-73EA5D2EE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061584"/>
        <c:axId val="252073104"/>
      </c:barChart>
      <c:catAx>
        <c:axId val="25206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3104"/>
        <c:crosses val="autoZero"/>
        <c:auto val="1"/>
        <c:lblAlgn val="ctr"/>
        <c:lblOffset val="100"/>
        <c:noMultiLvlLbl val="0"/>
      </c:catAx>
      <c:valAx>
        <c:axId val="2520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TE_discrete_.1!$A$2</c:f>
              <c:strCache>
                <c:ptCount val="1"/>
                <c:pt idx="0">
                  <c:v>.0-.1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TE_discrete_.1!$B$2:$AY$2</c:f>
              <c:numCache>
                <c:formatCode>General</c:formatCode>
                <c:ptCount val="50"/>
                <c:pt idx="0">
                  <c:v>1.6895169409309699E-2</c:v>
                </c:pt>
                <c:pt idx="1">
                  <c:v>0.25705185700426397</c:v>
                </c:pt>
                <c:pt idx="2">
                  <c:v>0.18890713209329499</c:v>
                </c:pt>
                <c:pt idx="3">
                  <c:v>0.29767661546073998</c:v>
                </c:pt>
                <c:pt idx="4">
                  <c:v>2.6766695902768999E-2</c:v>
                </c:pt>
                <c:pt idx="5">
                  <c:v>2.4527001628868499E-2</c:v>
                </c:pt>
                <c:pt idx="6">
                  <c:v>0.15033416945842601</c:v>
                </c:pt>
                <c:pt idx="7">
                  <c:v>0.19363310381980101</c:v>
                </c:pt>
                <c:pt idx="8">
                  <c:v>0.218153678696554</c:v>
                </c:pt>
                <c:pt idx="9">
                  <c:v>0.194054219531276</c:v>
                </c:pt>
                <c:pt idx="10">
                  <c:v>5.3137177269790899E-2</c:v>
                </c:pt>
                <c:pt idx="11">
                  <c:v>4.8240221717476897E-2</c:v>
                </c:pt>
                <c:pt idx="12">
                  <c:v>0.16889802546340199</c:v>
                </c:pt>
                <c:pt idx="13">
                  <c:v>0.11942232280131899</c:v>
                </c:pt>
                <c:pt idx="14">
                  <c:v>0.151395345666725</c:v>
                </c:pt>
                <c:pt idx="15">
                  <c:v>0.19957464792572699</c:v>
                </c:pt>
                <c:pt idx="16">
                  <c:v>0.55607103175376604</c:v>
                </c:pt>
                <c:pt idx="17">
                  <c:v>0.74265608857527099</c:v>
                </c:pt>
                <c:pt idx="18">
                  <c:v>0.64354714064914997</c:v>
                </c:pt>
                <c:pt idx="19">
                  <c:v>0.31223780083903702</c:v>
                </c:pt>
                <c:pt idx="20">
                  <c:v>4.9339261454859798E-2</c:v>
                </c:pt>
                <c:pt idx="21">
                  <c:v>6.5868016961014297E-2</c:v>
                </c:pt>
                <c:pt idx="22">
                  <c:v>0.42062647133796099</c:v>
                </c:pt>
                <c:pt idx="23">
                  <c:v>0.432052300910167</c:v>
                </c:pt>
                <c:pt idx="24">
                  <c:v>0.159287682014954</c:v>
                </c:pt>
                <c:pt idx="25">
                  <c:v>0.13144431326249501</c:v>
                </c:pt>
                <c:pt idx="26">
                  <c:v>0.21169013314875801</c:v>
                </c:pt>
                <c:pt idx="27">
                  <c:v>0.394036538496566</c:v>
                </c:pt>
                <c:pt idx="28">
                  <c:v>0.141294809711072</c:v>
                </c:pt>
                <c:pt idx="29">
                  <c:v>0.123809678572589</c:v>
                </c:pt>
                <c:pt idx="30">
                  <c:v>6.6925921424975193E-2</c:v>
                </c:pt>
                <c:pt idx="31">
                  <c:v>0.20732278953490299</c:v>
                </c:pt>
                <c:pt idx="32">
                  <c:v>5.79265574004387E-2</c:v>
                </c:pt>
                <c:pt idx="33">
                  <c:v>7.6082110181733803E-2</c:v>
                </c:pt>
                <c:pt idx="34">
                  <c:v>0.41127940537917201</c:v>
                </c:pt>
                <c:pt idx="35">
                  <c:v>0.27731092436974702</c:v>
                </c:pt>
                <c:pt idx="36">
                  <c:v>0.77541592351100797</c:v>
                </c:pt>
                <c:pt idx="37">
                  <c:v>0.85132013683810404</c:v>
                </c:pt>
                <c:pt idx="38">
                  <c:v>7.3654101542547701E-2</c:v>
                </c:pt>
                <c:pt idx="39">
                  <c:v>7.0282970681376997E-2</c:v>
                </c:pt>
                <c:pt idx="40">
                  <c:v>0.30208333333333298</c:v>
                </c:pt>
                <c:pt idx="41">
                  <c:v>0.327564523184601</c:v>
                </c:pt>
                <c:pt idx="42">
                  <c:v>5.4742960598408601E-2</c:v>
                </c:pt>
                <c:pt idx="43">
                  <c:v>6.1413121158702101E-2</c:v>
                </c:pt>
                <c:pt idx="44">
                  <c:v>5.3193308096226598E-2</c:v>
                </c:pt>
                <c:pt idx="45">
                  <c:v>8.7116864085968901E-2</c:v>
                </c:pt>
                <c:pt idx="46">
                  <c:v>3.6859871116807101E-2</c:v>
                </c:pt>
                <c:pt idx="47">
                  <c:v>0.120760302532536</c:v>
                </c:pt>
                <c:pt idx="48">
                  <c:v>3.14769055312678E-2</c:v>
                </c:pt>
                <c:pt idx="49">
                  <c:v>0.11149971488310199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8-4802-A377-38DC0A707D0B}"/>
            </c:ext>
          </c:extLst>
        </c:ser>
        <c:ser>
          <c:idx val="1"/>
          <c:order val="1"/>
          <c:tx>
            <c:strRef>
              <c:f>TE_discrete_.1!$A$3</c:f>
              <c:strCache>
                <c:ptCount val="1"/>
                <c:pt idx="0">
                  <c:v>.1-.2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TE_discrete_.1!$B$3:$AY$3</c:f>
              <c:numCache>
                <c:formatCode>General</c:formatCode>
                <c:ptCount val="50"/>
                <c:pt idx="0">
                  <c:v>4.42239753985832E-2</c:v>
                </c:pt>
                <c:pt idx="1">
                  <c:v>4.1038970547857399E-2</c:v>
                </c:pt>
                <c:pt idx="2">
                  <c:v>0.15199838060322499</c:v>
                </c:pt>
                <c:pt idx="3">
                  <c:v>0.111176086907626</c:v>
                </c:pt>
                <c:pt idx="4">
                  <c:v>5.3611702794135997E-2</c:v>
                </c:pt>
                <c:pt idx="5">
                  <c:v>6.7566720962285401E-2</c:v>
                </c:pt>
                <c:pt idx="6">
                  <c:v>3.68007272604838E-2</c:v>
                </c:pt>
                <c:pt idx="7">
                  <c:v>4.5201259238059899E-2</c:v>
                </c:pt>
                <c:pt idx="8">
                  <c:v>1.6871322153814702E-2</c:v>
                </c:pt>
                <c:pt idx="9">
                  <c:v>6.9917344127351205E-2</c:v>
                </c:pt>
                <c:pt idx="10">
                  <c:v>3.75085957198524E-3</c:v>
                </c:pt>
                <c:pt idx="11">
                  <c:v>9.7939111046281405E-4</c:v>
                </c:pt>
                <c:pt idx="12">
                  <c:v>8.9484685680722795E-3</c:v>
                </c:pt>
                <c:pt idx="13">
                  <c:v>2.3355848463385499E-2</c:v>
                </c:pt>
                <c:pt idx="14">
                  <c:v>1.7436708429332901E-2</c:v>
                </c:pt>
                <c:pt idx="15">
                  <c:v>0.13724420934956499</c:v>
                </c:pt>
                <c:pt idx="16">
                  <c:v>1.7426560885752701E-2</c:v>
                </c:pt>
                <c:pt idx="17">
                  <c:v>0.15077678797684199</c:v>
                </c:pt>
                <c:pt idx="18">
                  <c:v>5.2439832192536897E-3</c:v>
                </c:pt>
                <c:pt idx="19">
                  <c:v>3.6266283947891297E-2</c:v>
                </c:pt>
                <c:pt idx="20">
                  <c:v>3.2316495821497599E-3</c:v>
                </c:pt>
                <c:pt idx="21">
                  <c:v>8.3034868881478693E-2</c:v>
                </c:pt>
                <c:pt idx="22">
                  <c:v>3.2388178314915E-3</c:v>
                </c:pt>
                <c:pt idx="23">
                  <c:v>8.8017873476181202E-3</c:v>
                </c:pt>
                <c:pt idx="24">
                  <c:v>9.1007477371113702E-4</c:v>
                </c:pt>
                <c:pt idx="25">
                  <c:v>1.5003935458480901E-3</c:v>
                </c:pt>
                <c:pt idx="26">
                  <c:v>4.42614888617693E-3</c:v>
                </c:pt>
                <c:pt idx="27">
                  <c:v>1.6648148485455601E-2</c:v>
                </c:pt>
                <c:pt idx="28">
                  <c:v>4.3225324189931401E-3</c:v>
                </c:pt>
                <c:pt idx="29">
                  <c:v>2.49114368357762E-2</c:v>
                </c:pt>
                <c:pt idx="30">
                  <c:v>3.09022412805333E-3</c:v>
                </c:pt>
                <c:pt idx="31">
                  <c:v>0.13315741046162299</c:v>
                </c:pt>
                <c:pt idx="32">
                  <c:v>7.0981434253000603E-3</c:v>
                </c:pt>
                <c:pt idx="33">
                  <c:v>3.8183731340621703E-2</c:v>
                </c:pt>
                <c:pt idx="34">
                  <c:v>6.8197491762662498E-3</c:v>
                </c:pt>
                <c:pt idx="35">
                  <c:v>0.24563868100431599</c:v>
                </c:pt>
                <c:pt idx="36">
                  <c:v>3.71334171515452E-3</c:v>
                </c:pt>
                <c:pt idx="37">
                  <c:v>0.11327154176778401</c:v>
                </c:pt>
                <c:pt idx="38">
                  <c:v>1.9920318725099601E-3</c:v>
                </c:pt>
                <c:pt idx="39">
                  <c:v>2.7147818980488299E-2</c:v>
                </c:pt>
                <c:pt idx="40">
                  <c:v>1.57206911636045E-2</c:v>
                </c:pt>
                <c:pt idx="41">
                  <c:v>8.2513123359579998E-2</c:v>
                </c:pt>
                <c:pt idx="42">
                  <c:v>1.14345609605031E-3</c:v>
                </c:pt>
                <c:pt idx="43">
                  <c:v>0.256801181571299</c:v>
                </c:pt>
                <c:pt idx="44">
                  <c:v>4.6403712296983699E-4</c:v>
                </c:pt>
                <c:pt idx="45">
                  <c:v>0.19789962144339901</c:v>
                </c:pt>
                <c:pt idx="46">
                  <c:v>9.56695969241322E-4</c:v>
                </c:pt>
                <c:pt idx="47">
                  <c:v>0.110742071156519</c:v>
                </c:pt>
                <c:pt idx="48">
                  <c:v>3.02604067667743E-2</c:v>
                </c:pt>
                <c:pt idx="49">
                  <c:v>6.8561110055122595E-2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8-4802-A377-38DC0A707D0B}"/>
            </c:ext>
          </c:extLst>
        </c:ser>
        <c:ser>
          <c:idx val="2"/>
          <c:order val="2"/>
          <c:tx>
            <c:strRef>
              <c:f>TE_discrete_.1!$A$4</c:f>
              <c:strCache>
                <c:ptCount val="1"/>
                <c:pt idx="0">
                  <c:v>.2-.3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TE_discrete_.1!$B$4:$AY$4</c:f>
              <c:numCache>
                <c:formatCode>General</c:formatCode>
                <c:ptCount val="50"/>
                <c:pt idx="0">
                  <c:v>8.3194523256026803E-2</c:v>
                </c:pt>
                <c:pt idx="1">
                  <c:v>1.5925024253628801E-2</c:v>
                </c:pt>
                <c:pt idx="2">
                  <c:v>2.3953577292458499E-2</c:v>
                </c:pt>
                <c:pt idx="3">
                  <c:v>2.4448392973617301E-2</c:v>
                </c:pt>
                <c:pt idx="4">
                  <c:v>2.4683623606064398E-2</c:v>
                </c:pt>
                <c:pt idx="5">
                  <c:v>4.67829845883974E-2</c:v>
                </c:pt>
                <c:pt idx="6">
                  <c:v>7.79448157438427E-3</c:v>
                </c:pt>
                <c:pt idx="7">
                  <c:v>3.94606151411592E-2</c:v>
                </c:pt>
                <c:pt idx="8">
                  <c:v>1.6037960474846E-2</c:v>
                </c:pt>
                <c:pt idx="9">
                  <c:v>0.138593149426851</c:v>
                </c:pt>
                <c:pt idx="10">
                  <c:v>3.3549355060534698E-3</c:v>
                </c:pt>
                <c:pt idx="11">
                  <c:v>1.3753151763945899E-3</c:v>
                </c:pt>
                <c:pt idx="12">
                  <c:v>1.3388152780417001E-2</c:v>
                </c:pt>
                <c:pt idx="13">
                  <c:v>5.03740045260593E-2</c:v>
                </c:pt>
                <c:pt idx="14">
                  <c:v>5.8213248626467198E-3</c:v>
                </c:pt>
                <c:pt idx="15">
                  <c:v>0.30420853158102801</c:v>
                </c:pt>
                <c:pt idx="16">
                  <c:v>4.88099647180366E-2</c:v>
                </c:pt>
                <c:pt idx="17">
                  <c:v>4.75039472914758E-2</c:v>
                </c:pt>
                <c:pt idx="18">
                  <c:v>3.56038860675645E-3</c:v>
                </c:pt>
                <c:pt idx="19">
                  <c:v>8.1668138661956199E-2</c:v>
                </c:pt>
                <c:pt idx="20">
                  <c:v>2.6758881890412002E-3</c:v>
                </c:pt>
                <c:pt idx="21">
                  <c:v>0.442365485159112</c:v>
                </c:pt>
                <c:pt idx="22">
                  <c:v>2.0092666176845398E-3</c:v>
                </c:pt>
                <c:pt idx="23">
                  <c:v>1.3570046932869499E-2</c:v>
                </c:pt>
                <c:pt idx="24">
                  <c:v>8.1168831168831098E-4</c:v>
                </c:pt>
                <c:pt idx="25">
                  <c:v>1.54466745375836E-2</c:v>
                </c:pt>
                <c:pt idx="26">
                  <c:v>9.2165898617511503E-3</c:v>
                </c:pt>
                <c:pt idx="27">
                  <c:v>5.1638403672064202E-2</c:v>
                </c:pt>
                <c:pt idx="28">
                  <c:v>3.3637752283142098E-3</c:v>
                </c:pt>
                <c:pt idx="29">
                  <c:v>6.00279502096265E-2</c:v>
                </c:pt>
                <c:pt idx="30">
                  <c:v>2.3957917397267399E-3</c:v>
                </c:pt>
                <c:pt idx="31">
                  <c:v>0.11597020885054</c:v>
                </c:pt>
                <c:pt idx="32">
                  <c:v>1.05758770130727E-2</c:v>
                </c:pt>
                <c:pt idx="33">
                  <c:v>0.13903800538602801</c:v>
                </c:pt>
                <c:pt idx="34">
                  <c:v>5.03179995402416E-3</c:v>
                </c:pt>
                <c:pt idx="35">
                  <c:v>0.172230594365405</c:v>
                </c:pt>
                <c:pt idx="36">
                  <c:v>4.9121370720154297E-3</c:v>
                </c:pt>
                <c:pt idx="37">
                  <c:v>4.3565977602994001E-3</c:v>
                </c:pt>
                <c:pt idx="38">
                  <c:v>2.1452650934722598E-3</c:v>
                </c:pt>
                <c:pt idx="39">
                  <c:v>0.14031055266115</c:v>
                </c:pt>
                <c:pt idx="40">
                  <c:v>1.0799431321084799E-2</c:v>
                </c:pt>
                <c:pt idx="41">
                  <c:v>0.29721675415573001</c:v>
                </c:pt>
                <c:pt idx="42">
                  <c:v>1.7437705464767202E-2</c:v>
                </c:pt>
                <c:pt idx="43">
                  <c:v>0.29734622897708302</c:v>
                </c:pt>
                <c:pt idx="44">
                  <c:v>1.3359384540236901E-2</c:v>
                </c:pt>
                <c:pt idx="45">
                  <c:v>0.24882158993772099</c:v>
                </c:pt>
                <c:pt idx="46">
                  <c:v>1.35381505081319E-3</c:v>
                </c:pt>
                <c:pt idx="47">
                  <c:v>0.45316702467553499</c:v>
                </c:pt>
                <c:pt idx="48">
                  <c:v>1.8190458087816001E-2</c:v>
                </c:pt>
                <c:pt idx="49">
                  <c:v>0.112621174681619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8-4802-A377-38DC0A707D0B}"/>
            </c:ext>
          </c:extLst>
        </c:ser>
        <c:ser>
          <c:idx val="3"/>
          <c:order val="3"/>
          <c:tx>
            <c:strRef>
              <c:f>TE_discrete_.1!$A$5</c:f>
              <c:strCache>
                <c:ptCount val="1"/>
                <c:pt idx="0">
                  <c:v>.3-.4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TE_discrete_.1!$B$5:$AY$5</c:f>
              <c:numCache>
                <c:formatCode>General</c:formatCode>
                <c:ptCount val="50"/>
                <c:pt idx="0">
                  <c:v>3.4504219216195897E-2</c:v>
                </c:pt>
                <c:pt idx="1">
                  <c:v>4.4242280024162098E-2</c:v>
                </c:pt>
                <c:pt idx="2">
                  <c:v>5.1055981646836501E-2</c:v>
                </c:pt>
                <c:pt idx="3">
                  <c:v>2.8541868154112499E-2</c:v>
                </c:pt>
                <c:pt idx="4">
                  <c:v>1.4675479263250199E-2</c:v>
                </c:pt>
                <c:pt idx="5">
                  <c:v>0.114788247086831</c:v>
                </c:pt>
                <c:pt idx="6">
                  <c:v>1.00166663860877E-2</c:v>
                </c:pt>
                <c:pt idx="7">
                  <c:v>6.2793555664046E-2</c:v>
                </c:pt>
                <c:pt idx="8">
                  <c:v>1.6020953093642602E-2</c:v>
                </c:pt>
                <c:pt idx="9">
                  <c:v>8.4900846967583904E-2</c:v>
                </c:pt>
                <c:pt idx="10">
                  <c:v>2.4588968305236602E-3</c:v>
                </c:pt>
                <c:pt idx="11">
                  <c:v>4.8261059826210102E-2</c:v>
                </c:pt>
                <c:pt idx="12">
                  <c:v>8.6893430303867803E-3</c:v>
                </c:pt>
                <c:pt idx="13">
                  <c:v>5.0892255601430299E-2</c:v>
                </c:pt>
                <c:pt idx="14">
                  <c:v>1.7014082970920601E-2</c:v>
                </c:pt>
                <c:pt idx="15">
                  <c:v>0.148027975078731</c:v>
                </c:pt>
                <c:pt idx="16">
                  <c:v>5.0388881308356497E-2</c:v>
                </c:pt>
                <c:pt idx="17">
                  <c:v>4.7757353657823399E-3</c:v>
                </c:pt>
                <c:pt idx="18">
                  <c:v>5.0783837491720002E-3</c:v>
                </c:pt>
                <c:pt idx="19">
                  <c:v>0.13027158313093301</c:v>
                </c:pt>
                <c:pt idx="20">
                  <c:v>2.59355316783994E-3</c:v>
                </c:pt>
                <c:pt idx="21">
                  <c:v>0.12362603433370301</c:v>
                </c:pt>
                <c:pt idx="22">
                  <c:v>2.1442173606633498E-3</c:v>
                </c:pt>
                <c:pt idx="23">
                  <c:v>0.120106161251143</c:v>
                </c:pt>
                <c:pt idx="24">
                  <c:v>1.0576544667453701E-3</c:v>
                </c:pt>
                <c:pt idx="25">
                  <c:v>5.3153286107831502E-2</c:v>
                </c:pt>
                <c:pt idx="26">
                  <c:v>4.0072129833700603E-3</c:v>
                </c:pt>
                <c:pt idx="27">
                  <c:v>6.1292144041092102E-2</c:v>
                </c:pt>
                <c:pt idx="28">
                  <c:v>3.8675290064675398E-3</c:v>
                </c:pt>
                <c:pt idx="29">
                  <c:v>5.9849198868991503E-2</c:v>
                </c:pt>
                <c:pt idx="30">
                  <c:v>2.4652349785593999E-3</c:v>
                </c:pt>
                <c:pt idx="31">
                  <c:v>5.4721272200135403E-2</c:v>
                </c:pt>
                <c:pt idx="32">
                  <c:v>3.0497048385083199E-3</c:v>
                </c:pt>
                <c:pt idx="33">
                  <c:v>0.28973979418950901</c:v>
                </c:pt>
                <c:pt idx="34">
                  <c:v>4.9551735587852102E-3</c:v>
                </c:pt>
                <c:pt idx="35">
                  <c:v>1.8901177492273501E-2</c:v>
                </c:pt>
                <c:pt idx="36">
                  <c:v>3.7718195374404199E-3</c:v>
                </c:pt>
                <c:pt idx="37">
                  <c:v>1.09938305897488E-2</c:v>
                </c:pt>
                <c:pt idx="38">
                  <c:v>2.4006537950761E-3</c:v>
                </c:pt>
                <c:pt idx="39">
                  <c:v>0.136632955358054</c:v>
                </c:pt>
                <c:pt idx="40">
                  <c:v>5.2493438320209904E-3</c:v>
                </c:pt>
                <c:pt idx="41">
                  <c:v>0.119340551181102</c:v>
                </c:pt>
                <c:pt idx="42">
                  <c:v>2.477488208109E-3</c:v>
                </c:pt>
                <c:pt idx="43">
                  <c:v>0.38443946829291498</c:v>
                </c:pt>
                <c:pt idx="44">
                  <c:v>3.44364391256563E-3</c:v>
                </c:pt>
                <c:pt idx="45">
                  <c:v>0.21531322505800399</c:v>
                </c:pt>
                <c:pt idx="46">
                  <c:v>1.78703586707341E-3</c:v>
                </c:pt>
                <c:pt idx="47">
                  <c:v>0.124605137276846</c:v>
                </c:pt>
                <c:pt idx="48">
                  <c:v>1.2031933092567899E-2</c:v>
                </c:pt>
                <c:pt idx="49">
                  <c:v>0.34725337388329203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C8-4802-A377-38DC0A707D0B}"/>
            </c:ext>
          </c:extLst>
        </c:ser>
        <c:ser>
          <c:idx val="4"/>
          <c:order val="4"/>
          <c:tx>
            <c:strRef>
              <c:f>TE_discrete_.1!$A$6</c:f>
              <c:strCache>
                <c:ptCount val="1"/>
                <c:pt idx="0">
                  <c:v>.4-.5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TE_discrete_.1!$B$6:$AY$6</c:f>
              <c:numCache>
                <c:formatCode>General</c:formatCode>
                <c:ptCount val="50"/>
                <c:pt idx="0">
                  <c:v>7.5323534257106695E-2</c:v>
                </c:pt>
                <c:pt idx="1">
                  <c:v>0.20678735516464999</c:v>
                </c:pt>
                <c:pt idx="2">
                  <c:v>4.3768696160680097E-2</c:v>
                </c:pt>
                <c:pt idx="3">
                  <c:v>0.19747644002608999</c:v>
                </c:pt>
                <c:pt idx="4">
                  <c:v>7.1028066658313405E-2</c:v>
                </c:pt>
                <c:pt idx="5">
                  <c:v>0.259835860167898</c:v>
                </c:pt>
                <c:pt idx="6">
                  <c:v>7.4460025925489406E-2</c:v>
                </c:pt>
                <c:pt idx="7">
                  <c:v>0.136159323917105</c:v>
                </c:pt>
                <c:pt idx="8">
                  <c:v>0.18235314126330801</c:v>
                </c:pt>
                <c:pt idx="9">
                  <c:v>0.14541310928943099</c:v>
                </c:pt>
                <c:pt idx="10">
                  <c:v>2.5214111567234102E-3</c:v>
                </c:pt>
                <c:pt idx="11">
                  <c:v>7.4558753047573395E-2</c:v>
                </c:pt>
                <c:pt idx="12">
                  <c:v>6.0929051427781697E-2</c:v>
                </c:pt>
                <c:pt idx="13">
                  <c:v>0.17808834453331401</c:v>
                </c:pt>
                <c:pt idx="14">
                  <c:v>0.15643958500906599</c:v>
                </c:pt>
                <c:pt idx="15">
                  <c:v>7.7585854316914504E-2</c:v>
                </c:pt>
                <c:pt idx="16">
                  <c:v>0.134285881366834</c:v>
                </c:pt>
                <c:pt idx="17">
                  <c:v>0</c:v>
                </c:pt>
                <c:pt idx="18">
                  <c:v>0.12397880326782899</c:v>
                </c:pt>
                <c:pt idx="19">
                  <c:v>4.6367851622874802E-2</c:v>
                </c:pt>
                <c:pt idx="20">
                  <c:v>8.1573422255156194E-2</c:v>
                </c:pt>
                <c:pt idx="21">
                  <c:v>0.202153060804413</c:v>
                </c:pt>
                <c:pt idx="22">
                  <c:v>0.105396530266452</c:v>
                </c:pt>
                <c:pt idx="23">
                  <c:v>0.19791276184192699</c:v>
                </c:pt>
                <c:pt idx="24">
                  <c:v>9.83864620228256E-3</c:v>
                </c:pt>
                <c:pt idx="25">
                  <c:v>0.19138626524990099</c:v>
                </c:pt>
                <c:pt idx="26">
                  <c:v>6.8177264530700707E-2</c:v>
                </c:pt>
                <c:pt idx="27">
                  <c:v>0.35070399446276002</c:v>
                </c:pt>
                <c:pt idx="28">
                  <c:v>3.4174006305047203E-2</c:v>
                </c:pt>
                <c:pt idx="29">
                  <c:v>0.42094315707367802</c:v>
                </c:pt>
                <c:pt idx="30">
                  <c:v>7.5293831704310601E-2</c:v>
                </c:pt>
                <c:pt idx="31">
                  <c:v>0.12465061370462301</c:v>
                </c:pt>
                <c:pt idx="32">
                  <c:v>5.4270478500472598E-2</c:v>
                </c:pt>
                <c:pt idx="33">
                  <c:v>0.158620320664871</c:v>
                </c:pt>
                <c:pt idx="34">
                  <c:v>8.1300605348522306E-2</c:v>
                </c:pt>
                <c:pt idx="35">
                  <c:v>6.2552680646726699E-2</c:v>
                </c:pt>
                <c:pt idx="36">
                  <c:v>5.5583170082746103E-2</c:v>
                </c:pt>
                <c:pt idx="37">
                  <c:v>0</c:v>
                </c:pt>
                <c:pt idx="38">
                  <c:v>4.8370620083767399E-2</c:v>
                </c:pt>
                <c:pt idx="39">
                  <c:v>0.117504341607927</c:v>
                </c:pt>
                <c:pt idx="40">
                  <c:v>0.15105533683289499</c:v>
                </c:pt>
                <c:pt idx="41">
                  <c:v>0.115430883639545</c:v>
                </c:pt>
                <c:pt idx="42">
                  <c:v>1.7485349468769298E-2</c:v>
                </c:pt>
                <c:pt idx="43">
                  <c:v>0</c:v>
                </c:pt>
                <c:pt idx="44">
                  <c:v>0.13779460251556899</c:v>
                </c:pt>
                <c:pt idx="45">
                  <c:v>0.119306386616192</c:v>
                </c:pt>
                <c:pt idx="46">
                  <c:v>5.8990234480766797E-2</c:v>
                </c:pt>
                <c:pt idx="47">
                  <c:v>3.6571057239300299E-2</c:v>
                </c:pt>
                <c:pt idx="48">
                  <c:v>5.3639992396882698E-2</c:v>
                </c:pt>
                <c:pt idx="49">
                  <c:v>0.13164797567002401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C8-4802-A377-38DC0A707D0B}"/>
            </c:ext>
          </c:extLst>
        </c:ser>
        <c:ser>
          <c:idx val="5"/>
          <c:order val="5"/>
          <c:tx>
            <c:strRef>
              <c:f>TE_discrete_.1!$A$7</c:f>
              <c:strCache>
                <c:ptCount val="1"/>
                <c:pt idx="0">
                  <c:v>.5-.6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TE_discrete_.1!$B$7:$AY$7</c:f>
              <c:numCache>
                <c:formatCode>General</c:formatCode>
                <c:ptCount val="50"/>
                <c:pt idx="0">
                  <c:v>4.2887737731324697E-2</c:v>
                </c:pt>
                <c:pt idx="1">
                  <c:v>0.38410426314729701</c:v>
                </c:pt>
                <c:pt idx="2">
                  <c:v>3.3197633881379099E-2</c:v>
                </c:pt>
                <c:pt idx="3">
                  <c:v>0.241717460246058</c:v>
                </c:pt>
                <c:pt idx="4">
                  <c:v>3.8591655181055E-2</c:v>
                </c:pt>
                <c:pt idx="5">
                  <c:v>0.38414672346823697</c:v>
                </c:pt>
                <c:pt idx="6">
                  <c:v>3.1851315634416899E-2</c:v>
                </c:pt>
                <c:pt idx="7">
                  <c:v>0.25501254187639899</c:v>
                </c:pt>
                <c:pt idx="8">
                  <c:v>9.4033810673832402E-2</c:v>
                </c:pt>
                <c:pt idx="9">
                  <c:v>0.17112826966903599</c:v>
                </c:pt>
                <c:pt idx="10">
                  <c:v>2.6464398091229201E-3</c:v>
                </c:pt>
                <c:pt idx="11">
                  <c:v>0.278855571068369</c:v>
                </c:pt>
                <c:pt idx="12">
                  <c:v>3.2252491923920698E-2</c:v>
                </c:pt>
                <c:pt idx="13">
                  <c:v>0.41646656416812</c:v>
                </c:pt>
                <c:pt idx="14">
                  <c:v>0.27011220024266802</c:v>
                </c:pt>
                <c:pt idx="15">
                  <c:v>4.3039631361535602E-2</c:v>
                </c:pt>
                <c:pt idx="16">
                  <c:v>6.4735580203114901E-2</c:v>
                </c:pt>
                <c:pt idx="17">
                  <c:v>0</c:v>
                </c:pt>
                <c:pt idx="18">
                  <c:v>9.7703687348200396E-2</c:v>
                </c:pt>
                <c:pt idx="19">
                  <c:v>9.9939280194303301E-2</c:v>
                </c:pt>
                <c:pt idx="20">
                  <c:v>0.24161211971512001</c:v>
                </c:pt>
                <c:pt idx="21">
                  <c:v>7.1425630892099898E-2</c:v>
                </c:pt>
                <c:pt idx="22">
                  <c:v>1.3105216595942401E-2</c:v>
                </c:pt>
                <c:pt idx="23">
                  <c:v>0.21268237093460801</c:v>
                </c:pt>
                <c:pt idx="24">
                  <c:v>2.87042502951593E-2</c:v>
                </c:pt>
                <c:pt idx="25">
                  <c:v>0.38139512003148301</c:v>
                </c:pt>
                <c:pt idx="26">
                  <c:v>1.29141545691335E-2</c:v>
                </c:pt>
                <c:pt idx="27">
                  <c:v>0.12218356678384699</c:v>
                </c:pt>
                <c:pt idx="28">
                  <c:v>0.101108258311937</c:v>
                </c:pt>
                <c:pt idx="29">
                  <c:v>0.223812928596964</c:v>
                </c:pt>
                <c:pt idx="30">
                  <c:v>0.122185378726063</c:v>
                </c:pt>
                <c:pt idx="31">
                  <c:v>2.68918942379472E-2</c:v>
                </c:pt>
                <c:pt idx="32">
                  <c:v>7.4905031121256904E-2</c:v>
                </c:pt>
                <c:pt idx="33">
                  <c:v>0.23008328726079399</c:v>
                </c:pt>
                <c:pt idx="34">
                  <c:v>8.6128068248575995E-2</c:v>
                </c:pt>
                <c:pt idx="35">
                  <c:v>7.0496283619830902E-2</c:v>
                </c:pt>
                <c:pt idx="36">
                  <c:v>3.2250518990672702E-2</c:v>
                </c:pt>
                <c:pt idx="37">
                  <c:v>0</c:v>
                </c:pt>
                <c:pt idx="38">
                  <c:v>0.10302380222698899</c:v>
                </c:pt>
                <c:pt idx="39">
                  <c:v>0.46820410665032097</c:v>
                </c:pt>
                <c:pt idx="40">
                  <c:v>7.8275371828521401E-2</c:v>
                </c:pt>
                <c:pt idx="41">
                  <c:v>2.6438101487314E-2</c:v>
                </c:pt>
                <c:pt idx="42">
                  <c:v>0.55962647100862295</c:v>
                </c:pt>
                <c:pt idx="43">
                  <c:v>0</c:v>
                </c:pt>
                <c:pt idx="44">
                  <c:v>5.7882525338869201E-2</c:v>
                </c:pt>
                <c:pt idx="45">
                  <c:v>0.12382464281353001</c:v>
                </c:pt>
                <c:pt idx="46">
                  <c:v>9.7907904474810001E-2</c:v>
                </c:pt>
                <c:pt idx="47">
                  <c:v>0.146934060181591</c:v>
                </c:pt>
                <c:pt idx="48">
                  <c:v>0.17243869986694499</c:v>
                </c:pt>
                <c:pt idx="49">
                  <c:v>0.21199391750617699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C8-4802-A377-38DC0A707D0B}"/>
            </c:ext>
          </c:extLst>
        </c:ser>
        <c:ser>
          <c:idx val="6"/>
          <c:order val="6"/>
          <c:tx>
            <c:strRef>
              <c:f>TE_discrete_.1!$A$8</c:f>
              <c:strCache>
                <c:ptCount val="1"/>
                <c:pt idx="0">
                  <c:v>.6-.7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TE_discrete_.1!$B$8:$AY$8</c:f>
              <c:numCache>
                <c:formatCode>General</c:formatCode>
                <c:ptCount val="50"/>
                <c:pt idx="0">
                  <c:v>1.32525489191118E-2</c:v>
                </c:pt>
                <c:pt idx="1">
                  <c:v>4.2869433105745799E-2</c:v>
                </c:pt>
                <c:pt idx="2">
                  <c:v>3.11733879130024E-2</c:v>
                </c:pt>
                <c:pt idx="3">
                  <c:v>0</c:v>
                </c:pt>
                <c:pt idx="4">
                  <c:v>4.5342062398195701E-2</c:v>
                </c:pt>
                <c:pt idx="5">
                  <c:v>0.102321137702042</c:v>
                </c:pt>
                <c:pt idx="6">
                  <c:v>3.0790727428831099E-2</c:v>
                </c:pt>
                <c:pt idx="7">
                  <c:v>0.173465093180249</c:v>
                </c:pt>
                <c:pt idx="8">
                  <c:v>2.9235688288717299E-2</c:v>
                </c:pt>
                <c:pt idx="9">
                  <c:v>5.9151671825572301E-2</c:v>
                </c:pt>
                <c:pt idx="10">
                  <c:v>4.9803079872470703E-3</c:v>
                </c:pt>
                <c:pt idx="11">
                  <c:v>0.22203004855279301</c:v>
                </c:pt>
                <c:pt idx="12">
                  <c:v>1.40791542142449E-2</c:v>
                </c:pt>
                <c:pt idx="13">
                  <c:v>0.113548810613782</c:v>
                </c:pt>
                <c:pt idx="14">
                  <c:v>4.8083870703875799E-2</c:v>
                </c:pt>
                <c:pt idx="15">
                  <c:v>4.3380458344126099E-2</c:v>
                </c:pt>
                <c:pt idx="16">
                  <c:v>6.4716087405703596E-3</c:v>
                </c:pt>
                <c:pt idx="17">
                  <c:v>0</c:v>
                </c:pt>
                <c:pt idx="18">
                  <c:v>3.6128284389489902E-2</c:v>
                </c:pt>
                <c:pt idx="19">
                  <c:v>0</c:v>
                </c:pt>
                <c:pt idx="20">
                  <c:v>3.60009880202544E-2</c:v>
                </c:pt>
                <c:pt idx="21" formatCode="0.00E+00">
                  <c:v>4.1167510600633898E-5</c:v>
                </c:pt>
                <c:pt idx="22">
                  <c:v>3.3212877299785497E-2</c:v>
                </c:pt>
                <c:pt idx="23" formatCode="0.00E+00">
                  <c:v>1.49945269976458E-5</c:v>
                </c:pt>
                <c:pt idx="24">
                  <c:v>1.5249901613537901E-3</c:v>
                </c:pt>
                <c:pt idx="25">
                  <c:v>0.22567394726485601</c:v>
                </c:pt>
                <c:pt idx="26">
                  <c:v>5.0090162292125802E-3</c:v>
                </c:pt>
                <c:pt idx="27">
                  <c:v>3.4061310358645498E-3</c:v>
                </c:pt>
                <c:pt idx="28">
                  <c:v>5.13503851278884E-2</c:v>
                </c:pt>
                <c:pt idx="29">
                  <c:v>5.43241574311807E-2</c:v>
                </c:pt>
                <c:pt idx="30">
                  <c:v>9.1925487404732498E-2</c:v>
                </c:pt>
                <c:pt idx="31">
                  <c:v>0</c:v>
                </c:pt>
                <c:pt idx="32">
                  <c:v>8.2235023452408504E-2</c:v>
                </c:pt>
                <c:pt idx="33">
                  <c:v>5.48411834994917E-2</c:v>
                </c:pt>
                <c:pt idx="34">
                  <c:v>4.9577277719598398E-2</c:v>
                </c:pt>
                <c:pt idx="35">
                  <c:v>0</c:v>
                </c:pt>
                <c:pt idx="36">
                  <c:v>7.9997660887108496E-2</c:v>
                </c:pt>
                <c:pt idx="37">
                  <c:v>0</c:v>
                </c:pt>
                <c:pt idx="38">
                  <c:v>8.5172131984880994E-2</c:v>
                </c:pt>
                <c:pt idx="39">
                  <c:v>3.3685769741546599E-2</c:v>
                </c:pt>
                <c:pt idx="40">
                  <c:v>0.15830052493438301</c:v>
                </c:pt>
                <c:pt idx="41">
                  <c:v>0</c:v>
                </c:pt>
                <c:pt idx="42">
                  <c:v>0.135404259373957</c:v>
                </c:pt>
                <c:pt idx="43">
                  <c:v>0</c:v>
                </c:pt>
                <c:pt idx="44">
                  <c:v>2.8526071559408901E-2</c:v>
                </c:pt>
                <c:pt idx="45">
                  <c:v>0</c:v>
                </c:pt>
                <c:pt idx="46">
                  <c:v>0.155851188649614</c:v>
                </c:pt>
                <c:pt idx="47" formatCode="0.00E+00">
                  <c:v>3.6101734688351699E-5</c:v>
                </c:pt>
                <c:pt idx="48">
                  <c:v>0.22661091047329401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C8-4802-A377-38DC0A707D0B}"/>
            </c:ext>
          </c:extLst>
        </c:ser>
        <c:ser>
          <c:idx val="7"/>
          <c:order val="7"/>
          <c:tx>
            <c:strRef>
              <c:f>TE_discrete_.1!$A$9</c:f>
              <c:strCache>
                <c:ptCount val="1"/>
                <c:pt idx="0">
                  <c:v>.7-.8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TE_discrete_.1!$B$9:$AY$9</c:f>
              <c:numCache>
                <c:formatCode>General</c:formatCode>
                <c:ptCount val="50"/>
                <c:pt idx="0">
                  <c:v>9.7380608079661694E-3</c:v>
                </c:pt>
                <c:pt idx="1">
                  <c:v>0</c:v>
                </c:pt>
                <c:pt idx="2">
                  <c:v>5.5306898180427701E-2</c:v>
                </c:pt>
                <c:pt idx="3">
                  <c:v>0</c:v>
                </c:pt>
                <c:pt idx="4">
                  <c:v>6.8193208871068695E-2</c:v>
                </c:pt>
                <c:pt idx="5">
                  <c:v>0</c:v>
                </c:pt>
                <c:pt idx="6">
                  <c:v>3.4780559249844203E-2</c:v>
                </c:pt>
                <c:pt idx="7">
                  <c:v>9.4274507163179005E-2</c:v>
                </c:pt>
                <c:pt idx="8">
                  <c:v>4.4797442089867003E-2</c:v>
                </c:pt>
                <c:pt idx="9">
                  <c:v>0.118813565087247</c:v>
                </c:pt>
                <c:pt idx="10">
                  <c:v>3.3757736147867201E-3</c:v>
                </c:pt>
                <c:pt idx="11">
                  <c:v>0.30186084310987898</c:v>
                </c:pt>
                <c:pt idx="12">
                  <c:v>6.5645136213657602E-3</c:v>
                </c:pt>
                <c:pt idx="13">
                  <c:v>3.9162506262200497E-2</c:v>
                </c:pt>
                <c:pt idx="14">
                  <c:v>2.20855884718681E-2</c:v>
                </c:pt>
                <c:pt idx="15">
                  <c:v>1.39875393655164E-2</c:v>
                </c:pt>
                <c:pt idx="16">
                  <c:v>1.23584335588E-2</c:v>
                </c:pt>
                <c:pt idx="17">
                  <c:v>0</c:v>
                </c:pt>
                <c:pt idx="18">
                  <c:v>1.03499668801059E-2</c:v>
                </c:pt>
                <c:pt idx="19">
                  <c:v>0</c:v>
                </c:pt>
                <c:pt idx="20">
                  <c:v>7.6509818451278203E-2</c:v>
                </c:pt>
                <c:pt idx="21">
                  <c:v>0</c:v>
                </c:pt>
                <c:pt idx="22">
                  <c:v>1.6044143887481001E-3</c:v>
                </c:pt>
                <c:pt idx="23">
                  <c:v>0</c:v>
                </c:pt>
                <c:pt idx="24">
                  <c:v>4.7274695001967702E-2</c:v>
                </c:pt>
                <c:pt idx="25">
                  <c:v>0</c:v>
                </c:pt>
                <c:pt idx="26">
                  <c:v>0.12732008524434801</c:v>
                </c:pt>
                <c:pt idx="27">
                  <c:v>0</c:v>
                </c:pt>
                <c:pt idx="28">
                  <c:v>0.107153303649777</c:v>
                </c:pt>
                <c:pt idx="29">
                  <c:v>0</c:v>
                </c:pt>
                <c:pt idx="30">
                  <c:v>6.6908560615267093E-2</c:v>
                </c:pt>
                <c:pt idx="31">
                  <c:v>0</c:v>
                </c:pt>
                <c:pt idx="32">
                  <c:v>3.2084321663605003E-2</c:v>
                </c:pt>
                <c:pt idx="33">
                  <c:v>0</c:v>
                </c:pt>
                <c:pt idx="34">
                  <c:v>7.6038926208781304E-2</c:v>
                </c:pt>
                <c:pt idx="35">
                  <c:v>0</c:v>
                </c:pt>
                <c:pt idx="36">
                  <c:v>3.3215403058390103E-2</c:v>
                </c:pt>
                <c:pt idx="37">
                  <c:v>0</c:v>
                </c:pt>
                <c:pt idx="38">
                  <c:v>7.5033200531208502E-2</c:v>
                </c:pt>
                <c:pt idx="39">
                  <c:v>1.53233220962304E-4</c:v>
                </c:pt>
                <c:pt idx="40">
                  <c:v>0.14236111111111099</c:v>
                </c:pt>
                <c:pt idx="41">
                  <c:v>0</c:v>
                </c:pt>
                <c:pt idx="42">
                  <c:v>0.14964981657058399</c:v>
                </c:pt>
                <c:pt idx="43">
                  <c:v>0</c:v>
                </c:pt>
                <c:pt idx="44">
                  <c:v>9.1000122115032306E-2</c:v>
                </c:pt>
                <c:pt idx="45">
                  <c:v>0</c:v>
                </c:pt>
                <c:pt idx="46">
                  <c:v>0.141356342172241</c:v>
                </c:pt>
                <c:pt idx="47">
                  <c:v>0</c:v>
                </c:pt>
                <c:pt idx="48">
                  <c:v>0.19956282075651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C8-4802-A377-38DC0A707D0B}"/>
            </c:ext>
          </c:extLst>
        </c:ser>
        <c:ser>
          <c:idx val="8"/>
          <c:order val="8"/>
          <c:tx>
            <c:strRef>
              <c:f>TE_discrete_.1!$A$10</c:f>
              <c:strCache>
                <c:ptCount val="1"/>
                <c:pt idx="0">
                  <c:v>.8-.9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TE_discrete_.1!$B$10:$AY$10</c:f>
              <c:numCache>
                <c:formatCode>General</c:formatCode>
                <c:ptCount val="50"/>
                <c:pt idx="0">
                  <c:v>0.20265050978382201</c:v>
                </c:pt>
                <c:pt idx="1">
                  <c:v>0</c:v>
                </c:pt>
                <c:pt idx="2">
                  <c:v>0.33561998155687001</c:v>
                </c:pt>
                <c:pt idx="3">
                  <c:v>0</c:v>
                </c:pt>
                <c:pt idx="4">
                  <c:v>0.26464415486781101</c:v>
                </c:pt>
                <c:pt idx="5">
                  <c:v>0</c:v>
                </c:pt>
                <c:pt idx="6">
                  <c:v>0.26689786367232798</c:v>
                </c:pt>
                <c:pt idx="7">
                  <c:v>0</c:v>
                </c:pt>
                <c:pt idx="8">
                  <c:v>5.0477907411816701E-2</c:v>
                </c:pt>
                <c:pt idx="9">
                  <c:v>1.08677165889996E-2</c:v>
                </c:pt>
                <c:pt idx="10">
                  <c:v>8.5853007980995592E-3</c:v>
                </c:pt>
                <c:pt idx="11">
                  <c:v>2.3547062868574001E-2</c:v>
                </c:pt>
                <c:pt idx="12">
                  <c:v>1.7983312315373E-2</c:v>
                </c:pt>
                <c:pt idx="13">
                  <c:v>0</c:v>
                </c:pt>
                <c:pt idx="14">
                  <c:v>3.1028888495044302E-2</c:v>
                </c:pt>
                <c:pt idx="15">
                  <c:v>0</c:v>
                </c:pt>
                <c:pt idx="16">
                  <c:v>8.9861796066353396E-3</c:v>
                </c:pt>
                <c:pt idx="17">
                  <c:v>0</c:v>
                </c:pt>
                <c:pt idx="18">
                  <c:v>3.6873482004857502E-2</c:v>
                </c:pt>
                <c:pt idx="19">
                  <c:v>0</c:v>
                </c:pt>
                <c:pt idx="20">
                  <c:v>5.0944794368284502E-2</c:v>
                </c:pt>
                <c:pt idx="21">
                  <c:v>0</c:v>
                </c:pt>
                <c:pt idx="22">
                  <c:v>1.9972709960864199E-2</c:v>
                </c:pt>
                <c:pt idx="23">
                  <c:v>0</c:v>
                </c:pt>
                <c:pt idx="24">
                  <c:v>6.8304801259346695E-2</c:v>
                </c:pt>
                <c:pt idx="25">
                  <c:v>0</c:v>
                </c:pt>
                <c:pt idx="26">
                  <c:v>0.22868435911914101</c:v>
                </c:pt>
                <c:pt idx="27">
                  <c:v>0</c:v>
                </c:pt>
                <c:pt idx="28">
                  <c:v>0.19116643374825301</c:v>
                </c:pt>
                <c:pt idx="29">
                  <c:v>0</c:v>
                </c:pt>
                <c:pt idx="30">
                  <c:v>0.15098696203190901</c:v>
                </c:pt>
                <c:pt idx="31">
                  <c:v>0</c:v>
                </c:pt>
                <c:pt idx="32">
                  <c:v>9.2347202653778201E-2</c:v>
                </c:pt>
                <c:pt idx="33">
                  <c:v>0</c:v>
                </c:pt>
                <c:pt idx="34">
                  <c:v>0.132206073918929</c:v>
                </c:pt>
                <c:pt idx="35">
                  <c:v>0</c:v>
                </c:pt>
                <c:pt idx="36">
                  <c:v>1.11400251454635E-2</c:v>
                </c:pt>
                <c:pt idx="37">
                  <c:v>0</c:v>
                </c:pt>
                <c:pt idx="38">
                  <c:v>0.30649198079476903</c:v>
                </c:pt>
                <c:pt idx="39">
                  <c:v>6.02717335785064E-3</c:v>
                </c:pt>
                <c:pt idx="40">
                  <c:v>0.136154855643044</c:v>
                </c:pt>
                <c:pt idx="41">
                  <c:v>0</c:v>
                </c:pt>
                <c:pt idx="42">
                  <c:v>6.20324932107294E-2</c:v>
                </c:pt>
                <c:pt idx="43">
                  <c:v>0</c:v>
                </c:pt>
                <c:pt idx="44">
                  <c:v>0.308755647820246</c:v>
                </c:pt>
                <c:pt idx="45">
                  <c:v>0</c:v>
                </c:pt>
                <c:pt idx="46">
                  <c:v>9.3557645444863599E-2</c:v>
                </c:pt>
                <c:pt idx="47">
                  <c:v>0</c:v>
                </c:pt>
                <c:pt idx="48">
                  <c:v>0.25578787302794098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C8-4802-A377-38DC0A707D0B}"/>
            </c:ext>
          </c:extLst>
        </c:ser>
        <c:ser>
          <c:idx val="9"/>
          <c:order val="9"/>
          <c:tx>
            <c:strRef>
              <c:f>TE_discrete_.1!$A$11</c:f>
              <c:strCache>
                <c:ptCount val="1"/>
                <c:pt idx="0">
                  <c:v>.9-1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f>TE_discrete_.1!$B$1:$AY$1</c:f>
              <c:strCache>
                <c:ptCount val="50"/>
                <c:pt idx="0">
                  <c:v>dyad_01_anno01</c:v>
                </c:pt>
                <c:pt idx="1">
                  <c:v>dyad_01_anno02</c:v>
                </c:pt>
                <c:pt idx="2">
                  <c:v>dyad_02_anno01</c:v>
                </c:pt>
                <c:pt idx="3">
                  <c:v>dyad_02_anno02</c:v>
                </c:pt>
                <c:pt idx="4">
                  <c:v>dyad_03_anno01</c:v>
                </c:pt>
                <c:pt idx="5">
                  <c:v>dyad_03_anno02</c:v>
                </c:pt>
                <c:pt idx="6">
                  <c:v>dyad_04_anno01</c:v>
                </c:pt>
                <c:pt idx="7">
                  <c:v>dyad_04_anno02</c:v>
                </c:pt>
                <c:pt idx="8">
                  <c:v>dyad_05_anno01</c:v>
                </c:pt>
                <c:pt idx="9">
                  <c:v>dyad_05_anno02</c:v>
                </c:pt>
                <c:pt idx="10">
                  <c:v>dyad_06_anno01</c:v>
                </c:pt>
                <c:pt idx="11">
                  <c:v>dyad_06_anno02</c:v>
                </c:pt>
                <c:pt idx="12">
                  <c:v>dyad_07_anno01</c:v>
                </c:pt>
                <c:pt idx="13">
                  <c:v>dyad_07_anno02</c:v>
                </c:pt>
                <c:pt idx="14">
                  <c:v>dyad_08_anno01</c:v>
                </c:pt>
                <c:pt idx="15">
                  <c:v>dyad_08_anno02</c:v>
                </c:pt>
                <c:pt idx="16">
                  <c:v>dyad_09_anno01</c:v>
                </c:pt>
                <c:pt idx="17">
                  <c:v>dyad_09_anno02</c:v>
                </c:pt>
                <c:pt idx="18">
                  <c:v>dyad_10_anno01</c:v>
                </c:pt>
                <c:pt idx="19">
                  <c:v>dyad_10_anno02</c:v>
                </c:pt>
                <c:pt idx="20">
                  <c:v>dyad_11_anno01</c:v>
                </c:pt>
                <c:pt idx="21">
                  <c:v>dyad_11_anno02</c:v>
                </c:pt>
                <c:pt idx="22">
                  <c:v>triad_01_anno01</c:v>
                </c:pt>
                <c:pt idx="23">
                  <c:v>triad_01_anno02</c:v>
                </c:pt>
                <c:pt idx="24">
                  <c:v>triad_02_anno01</c:v>
                </c:pt>
                <c:pt idx="25">
                  <c:v>triad_02_anno02</c:v>
                </c:pt>
                <c:pt idx="26">
                  <c:v>triad_03_anno01</c:v>
                </c:pt>
                <c:pt idx="27">
                  <c:v>triad_03_anno02</c:v>
                </c:pt>
                <c:pt idx="28">
                  <c:v>triad_04_anno01</c:v>
                </c:pt>
                <c:pt idx="29">
                  <c:v>triad_04_anno02</c:v>
                </c:pt>
                <c:pt idx="30">
                  <c:v>triad_05_anno01</c:v>
                </c:pt>
                <c:pt idx="31">
                  <c:v>triad_05_anno02</c:v>
                </c:pt>
                <c:pt idx="32">
                  <c:v>triad_06_anno01</c:v>
                </c:pt>
                <c:pt idx="33">
                  <c:v>triad_06_anno02</c:v>
                </c:pt>
                <c:pt idx="34">
                  <c:v>triad_07_anno01</c:v>
                </c:pt>
                <c:pt idx="35">
                  <c:v>triad_07_anno02</c:v>
                </c:pt>
                <c:pt idx="36">
                  <c:v>triad_08_anno01</c:v>
                </c:pt>
                <c:pt idx="37">
                  <c:v>triad_08_anno02</c:v>
                </c:pt>
                <c:pt idx="38">
                  <c:v>triad_09_anno01</c:v>
                </c:pt>
                <c:pt idx="39">
                  <c:v>triad_09_anno02</c:v>
                </c:pt>
                <c:pt idx="40">
                  <c:v>triad_10_anno01</c:v>
                </c:pt>
                <c:pt idx="41">
                  <c:v>triad_10_anno02</c:v>
                </c:pt>
                <c:pt idx="42">
                  <c:v>triad_11_anno01</c:v>
                </c:pt>
                <c:pt idx="43">
                  <c:v>triad_11_anno02</c:v>
                </c:pt>
                <c:pt idx="44">
                  <c:v>triad_12_anno01</c:v>
                </c:pt>
                <c:pt idx="45">
                  <c:v>triad_12_anno02</c:v>
                </c:pt>
                <c:pt idx="46">
                  <c:v>triad_13_anno01</c:v>
                </c:pt>
                <c:pt idx="47">
                  <c:v>triad_13_anno02</c:v>
                </c:pt>
                <c:pt idx="48">
                  <c:v>triad_14_anno01</c:v>
                </c:pt>
                <c:pt idx="49">
                  <c:v>triad_14_anno02</c:v>
                </c:pt>
              </c:strCache>
            </c:strRef>
          </c:cat>
          <c:val>
            <c:numRef>
              <c:f>TE_discrete_.1!$B$11:$AY$11</c:f>
              <c:numCache>
                <c:formatCode>General</c:formatCode>
                <c:ptCount val="50"/>
                <c:pt idx="0">
                  <c:v>0.47732972122055201</c:v>
                </c:pt>
                <c:pt idx="1">
                  <c:v>0</c:v>
                </c:pt>
                <c:pt idx="2">
                  <c:v>8.5018330671824696E-2</c:v>
                </c:pt>
                <c:pt idx="3">
                  <c:v>0</c:v>
                </c:pt>
                <c:pt idx="4">
                  <c:v>0.39244768825961601</c:v>
                </c:pt>
                <c:pt idx="5">
                  <c:v>0</c:v>
                </c:pt>
                <c:pt idx="6">
                  <c:v>0.356273463409706</c:v>
                </c:pt>
                <c:pt idx="7">
                  <c:v>0</c:v>
                </c:pt>
                <c:pt idx="8">
                  <c:v>0.32970509200993198</c:v>
                </c:pt>
                <c:pt idx="9">
                  <c:v>0</c:v>
                </c:pt>
                <c:pt idx="10">
                  <c:v>0.91516805934693302</c:v>
                </c:pt>
                <c:pt idx="11">
                  <c:v>0</c:v>
                </c:pt>
                <c:pt idx="12">
                  <c:v>0.66825021161918896</c:v>
                </c:pt>
                <c:pt idx="13">
                  <c:v>0</c:v>
                </c:pt>
                <c:pt idx="14">
                  <c:v>0.28058240514784999</c:v>
                </c:pt>
                <c:pt idx="15">
                  <c:v>0</c:v>
                </c:pt>
                <c:pt idx="16">
                  <c:v>0.10046587785813101</c:v>
                </c:pt>
                <c:pt idx="17">
                  <c:v>0</c:v>
                </c:pt>
                <c:pt idx="18">
                  <c:v>3.6349083682932201E-2</c:v>
                </c:pt>
                <c:pt idx="19">
                  <c:v>0</c:v>
                </c:pt>
                <c:pt idx="20">
                  <c:v>0.45551850479601402</c:v>
                </c:pt>
                <c:pt idx="21">
                  <c:v>0</c:v>
                </c:pt>
                <c:pt idx="22">
                  <c:v>0.391102247679596</c:v>
                </c:pt>
                <c:pt idx="23">
                  <c:v>0</c:v>
                </c:pt>
                <c:pt idx="24">
                  <c:v>0.68228551751278999</c:v>
                </c:pt>
                <c:pt idx="25">
                  <c:v>0</c:v>
                </c:pt>
                <c:pt idx="26">
                  <c:v>0.328555035427405</c:v>
                </c:pt>
                <c:pt idx="27">
                  <c:v>0</c:v>
                </c:pt>
                <c:pt idx="28">
                  <c:v>0.36219896649224798</c:v>
                </c:pt>
                <c:pt idx="29">
                  <c:v>0</c:v>
                </c:pt>
                <c:pt idx="30">
                  <c:v>0.41782260724640102</c:v>
                </c:pt>
                <c:pt idx="31">
                  <c:v>0</c:v>
                </c:pt>
                <c:pt idx="32">
                  <c:v>0.58550765993115805</c:v>
                </c:pt>
                <c:pt idx="33">
                  <c:v>0</c:v>
                </c:pt>
                <c:pt idx="34">
                  <c:v>0.146662920487343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0.30169067320461701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0.30558065697887399</c:v>
                </c:pt>
                <c:pt idx="45">
                  <c:v>0</c:v>
                </c:pt>
                <c:pt idx="46">
                  <c:v>0.41137926677376802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C8-4802-A377-38DC0A707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6454368"/>
        <c:axId val="1856474528"/>
      </c:barChart>
      <c:catAx>
        <c:axId val="18564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74528"/>
        <c:crosses val="autoZero"/>
        <c:auto val="1"/>
        <c:lblAlgn val="ctr"/>
        <c:lblOffset val="100"/>
        <c:noMultiLvlLbl val="0"/>
      </c:catAx>
      <c:valAx>
        <c:axId val="18564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Triads Anno: Helen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TE_discrete_.1!$A$2</c:f>
              <c:strCache>
                <c:ptCount val="1"/>
                <c:pt idx="0">
                  <c:v>.0-.1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TE_discrete_.1!$B$2:$AY$2</c15:sqref>
                  </c15:fullRef>
                </c:ext>
              </c:extLst>
              <c:f>(TE_discrete_.1!$X$2,TE_discrete_.1!$Z$2,TE_discrete_.1!$AB$2,TE_discrete_.1!$AD$2,TE_discrete_.1!$AF$2,TE_discrete_.1!$AH$2,TE_discrete_.1!$AJ$2,TE_discrete_.1!$AL$2,TE_discrete_.1!$AN$2,TE_discrete_.1!$AP$2,TE_discrete_.1!$AR$2,TE_discrete_.1!$AT$2,TE_discrete_.1!$AV$2,TE_discrete_.1!$AX$2)</c:f>
              <c:numCache>
                <c:formatCode>General</c:formatCode>
                <c:ptCount val="14"/>
                <c:pt idx="0">
                  <c:v>0.42062647133796099</c:v>
                </c:pt>
                <c:pt idx="1">
                  <c:v>0.159287682014954</c:v>
                </c:pt>
                <c:pt idx="2">
                  <c:v>0.21169013314875801</c:v>
                </c:pt>
                <c:pt idx="3">
                  <c:v>0.141294809711072</c:v>
                </c:pt>
                <c:pt idx="4">
                  <c:v>6.6925921424975193E-2</c:v>
                </c:pt>
                <c:pt idx="5">
                  <c:v>5.79265574004387E-2</c:v>
                </c:pt>
                <c:pt idx="6">
                  <c:v>0.41127940537917201</c:v>
                </c:pt>
                <c:pt idx="7">
                  <c:v>0.77541592351100797</c:v>
                </c:pt>
                <c:pt idx="8">
                  <c:v>7.3654101542547701E-2</c:v>
                </c:pt>
                <c:pt idx="9">
                  <c:v>0.30208333333333298</c:v>
                </c:pt>
                <c:pt idx="10">
                  <c:v>5.4742960598408601E-2</c:v>
                </c:pt>
                <c:pt idx="11">
                  <c:v>5.3193308096226598E-2</c:v>
                </c:pt>
                <c:pt idx="12">
                  <c:v>3.6859871116807101E-2</c:v>
                </c:pt>
                <c:pt idx="13">
                  <c:v>3.14769055312678E-2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6-4F8C-B403-A82E4A1EB763}"/>
            </c:ext>
          </c:extLst>
        </c:ser>
        <c:ser>
          <c:idx val="1"/>
          <c:order val="1"/>
          <c:tx>
            <c:strRef>
              <c:f>TE_discrete_.1!$A$3</c:f>
              <c:strCache>
                <c:ptCount val="1"/>
                <c:pt idx="0">
                  <c:v>.1-.2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TE_discrete_.1!$B$3:$AY$3</c15:sqref>
                  </c15:fullRef>
                </c:ext>
              </c:extLst>
              <c:f>(TE_discrete_.1!$X$3,TE_discrete_.1!$Z$3,TE_discrete_.1!$AB$3,TE_discrete_.1!$AD$3,TE_discrete_.1!$AF$3,TE_discrete_.1!$AH$3,TE_discrete_.1!$AJ$3,TE_discrete_.1!$AL$3,TE_discrete_.1!$AN$3,TE_discrete_.1!$AP$3,TE_discrete_.1!$AR$3,TE_discrete_.1!$AT$3,TE_discrete_.1!$AV$3,TE_discrete_.1!$AX$3)</c:f>
              <c:numCache>
                <c:formatCode>General</c:formatCode>
                <c:ptCount val="14"/>
                <c:pt idx="0">
                  <c:v>3.2388178314915E-3</c:v>
                </c:pt>
                <c:pt idx="1">
                  <c:v>9.1007477371113702E-4</c:v>
                </c:pt>
                <c:pt idx="2">
                  <c:v>4.42614888617693E-3</c:v>
                </c:pt>
                <c:pt idx="3">
                  <c:v>4.3225324189931401E-3</c:v>
                </c:pt>
                <c:pt idx="4">
                  <c:v>3.09022412805333E-3</c:v>
                </c:pt>
                <c:pt idx="5">
                  <c:v>7.0981434253000603E-3</c:v>
                </c:pt>
                <c:pt idx="6">
                  <c:v>6.8197491762662498E-3</c:v>
                </c:pt>
                <c:pt idx="7">
                  <c:v>3.71334171515452E-3</c:v>
                </c:pt>
                <c:pt idx="8">
                  <c:v>1.9920318725099601E-3</c:v>
                </c:pt>
                <c:pt idx="9">
                  <c:v>1.57206911636045E-2</c:v>
                </c:pt>
                <c:pt idx="10">
                  <c:v>1.14345609605031E-3</c:v>
                </c:pt>
                <c:pt idx="11">
                  <c:v>4.6403712296983699E-4</c:v>
                </c:pt>
                <c:pt idx="12">
                  <c:v>9.56695969241322E-4</c:v>
                </c:pt>
                <c:pt idx="13">
                  <c:v>3.02604067667743E-2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6-4F8C-B403-A82E4A1EB763}"/>
            </c:ext>
          </c:extLst>
        </c:ser>
        <c:ser>
          <c:idx val="2"/>
          <c:order val="2"/>
          <c:tx>
            <c:strRef>
              <c:f>TE_discrete_.1!$A$4</c:f>
              <c:strCache>
                <c:ptCount val="1"/>
                <c:pt idx="0">
                  <c:v>.2-.3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TE_discrete_.1!$B$4:$AY$4</c15:sqref>
                  </c15:fullRef>
                </c:ext>
              </c:extLst>
              <c:f>(TE_discrete_.1!$X$4,TE_discrete_.1!$Z$4,TE_discrete_.1!$AB$4,TE_discrete_.1!$AD$4,TE_discrete_.1!$AF$4,TE_discrete_.1!$AH$4,TE_discrete_.1!$AJ$4,TE_discrete_.1!$AL$4,TE_discrete_.1!$AN$4,TE_discrete_.1!$AP$4,TE_discrete_.1!$AR$4,TE_discrete_.1!$AT$4,TE_discrete_.1!$AV$4,TE_discrete_.1!$AX$4)</c:f>
              <c:numCache>
                <c:formatCode>General</c:formatCode>
                <c:ptCount val="14"/>
                <c:pt idx="0">
                  <c:v>2.0092666176845398E-3</c:v>
                </c:pt>
                <c:pt idx="1">
                  <c:v>8.1168831168831098E-4</c:v>
                </c:pt>
                <c:pt idx="2">
                  <c:v>9.2165898617511503E-3</c:v>
                </c:pt>
                <c:pt idx="3">
                  <c:v>3.3637752283142098E-3</c:v>
                </c:pt>
                <c:pt idx="4">
                  <c:v>2.3957917397267399E-3</c:v>
                </c:pt>
                <c:pt idx="5">
                  <c:v>1.05758770130727E-2</c:v>
                </c:pt>
                <c:pt idx="6">
                  <c:v>5.03179995402416E-3</c:v>
                </c:pt>
                <c:pt idx="7">
                  <c:v>4.9121370720154297E-3</c:v>
                </c:pt>
                <c:pt idx="8">
                  <c:v>2.1452650934722598E-3</c:v>
                </c:pt>
                <c:pt idx="9">
                  <c:v>1.0799431321084799E-2</c:v>
                </c:pt>
                <c:pt idx="10">
                  <c:v>1.7437705464767202E-2</c:v>
                </c:pt>
                <c:pt idx="11">
                  <c:v>1.3359384540236901E-2</c:v>
                </c:pt>
                <c:pt idx="12">
                  <c:v>1.35381505081319E-3</c:v>
                </c:pt>
                <c:pt idx="13">
                  <c:v>1.8190458087816001E-2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6-4F8C-B403-A82E4A1EB763}"/>
            </c:ext>
          </c:extLst>
        </c:ser>
        <c:ser>
          <c:idx val="3"/>
          <c:order val="3"/>
          <c:tx>
            <c:strRef>
              <c:f>TE_discrete_.1!$A$5</c:f>
              <c:strCache>
                <c:ptCount val="1"/>
                <c:pt idx="0">
                  <c:v>.3-.4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TE_discrete_.1!$B$5:$AY$5</c15:sqref>
                  </c15:fullRef>
                </c:ext>
              </c:extLst>
              <c:f>(TE_discrete_.1!$X$5,TE_discrete_.1!$Z$5,TE_discrete_.1!$AB$5,TE_discrete_.1!$AD$5,TE_discrete_.1!$AF$5,TE_discrete_.1!$AH$5,TE_discrete_.1!$AJ$5,TE_discrete_.1!$AL$5,TE_discrete_.1!$AN$5,TE_discrete_.1!$AP$5,TE_discrete_.1!$AR$5,TE_discrete_.1!$AT$5,TE_discrete_.1!$AV$5,TE_discrete_.1!$AX$5)</c:f>
              <c:numCache>
                <c:formatCode>General</c:formatCode>
                <c:ptCount val="14"/>
                <c:pt idx="0">
                  <c:v>2.1442173606633498E-3</c:v>
                </c:pt>
                <c:pt idx="1">
                  <c:v>1.0576544667453701E-3</c:v>
                </c:pt>
                <c:pt idx="2">
                  <c:v>4.0072129833700603E-3</c:v>
                </c:pt>
                <c:pt idx="3">
                  <c:v>3.8675290064675398E-3</c:v>
                </c:pt>
                <c:pt idx="4">
                  <c:v>2.4652349785593999E-3</c:v>
                </c:pt>
                <c:pt idx="5">
                  <c:v>3.0497048385083199E-3</c:v>
                </c:pt>
                <c:pt idx="6">
                  <c:v>4.9551735587852102E-3</c:v>
                </c:pt>
                <c:pt idx="7">
                  <c:v>3.7718195374404199E-3</c:v>
                </c:pt>
                <c:pt idx="8">
                  <c:v>2.4006537950761E-3</c:v>
                </c:pt>
                <c:pt idx="9">
                  <c:v>5.2493438320209904E-3</c:v>
                </c:pt>
                <c:pt idx="10">
                  <c:v>2.477488208109E-3</c:v>
                </c:pt>
                <c:pt idx="11">
                  <c:v>3.44364391256563E-3</c:v>
                </c:pt>
                <c:pt idx="12">
                  <c:v>1.78703586707341E-3</c:v>
                </c:pt>
                <c:pt idx="13">
                  <c:v>1.2031933092567899E-2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86-4F8C-B403-A82E4A1EB763}"/>
            </c:ext>
          </c:extLst>
        </c:ser>
        <c:ser>
          <c:idx val="4"/>
          <c:order val="4"/>
          <c:tx>
            <c:strRef>
              <c:f>TE_discrete_.1!$A$6</c:f>
              <c:strCache>
                <c:ptCount val="1"/>
                <c:pt idx="0">
                  <c:v>.4-.5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TE_discrete_.1!$B$6:$AY$6</c15:sqref>
                  </c15:fullRef>
                </c:ext>
              </c:extLst>
              <c:f>(TE_discrete_.1!$X$6,TE_discrete_.1!$Z$6,TE_discrete_.1!$AB$6,TE_discrete_.1!$AD$6,TE_discrete_.1!$AF$6,TE_discrete_.1!$AH$6,TE_discrete_.1!$AJ$6,TE_discrete_.1!$AL$6,TE_discrete_.1!$AN$6,TE_discrete_.1!$AP$6,TE_discrete_.1!$AR$6,TE_discrete_.1!$AT$6,TE_discrete_.1!$AV$6,TE_discrete_.1!$AX$6)</c:f>
              <c:numCache>
                <c:formatCode>General</c:formatCode>
                <c:ptCount val="14"/>
                <c:pt idx="0">
                  <c:v>0.105396530266452</c:v>
                </c:pt>
                <c:pt idx="1">
                  <c:v>9.83864620228256E-3</c:v>
                </c:pt>
                <c:pt idx="2">
                  <c:v>6.8177264530700707E-2</c:v>
                </c:pt>
                <c:pt idx="3">
                  <c:v>3.4174006305047203E-2</c:v>
                </c:pt>
                <c:pt idx="4">
                  <c:v>7.5293831704310601E-2</c:v>
                </c:pt>
                <c:pt idx="5">
                  <c:v>5.4270478500472598E-2</c:v>
                </c:pt>
                <c:pt idx="6">
                  <c:v>8.1300605348522306E-2</c:v>
                </c:pt>
                <c:pt idx="7">
                  <c:v>5.5583170082746103E-2</c:v>
                </c:pt>
                <c:pt idx="8">
                  <c:v>4.8370620083767399E-2</c:v>
                </c:pt>
                <c:pt idx="9">
                  <c:v>0.15105533683289499</c:v>
                </c:pt>
                <c:pt idx="10">
                  <c:v>1.7485349468769298E-2</c:v>
                </c:pt>
                <c:pt idx="11">
                  <c:v>0.13779460251556899</c:v>
                </c:pt>
                <c:pt idx="12">
                  <c:v>5.8990234480766797E-2</c:v>
                </c:pt>
                <c:pt idx="13">
                  <c:v>5.3639992396882698E-2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86-4F8C-B403-A82E4A1EB763}"/>
            </c:ext>
          </c:extLst>
        </c:ser>
        <c:ser>
          <c:idx val="5"/>
          <c:order val="5"/>
          <c:tx>
            <c:strRef>
              <c:f>TE_discrete_.1!$A$7</c:f>
              <c:strCache>
                <c:ptCount val="1"/>
                <c:pt idx="0">
                  <c:v>.5-.6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TE_discrete_.1!$B$7:$AY$7</c15:sqref>
                  </c15:fullRef>
                </c:ext>
              </c:extLst>
              <c:f>(TE_discrete_.1!$X$7,TE_discrete_.1!$Z$7,TE_discrete_.1!$AB$7,TE_discrete_.1!$AD$7,TE_discrete_.1!$AF$7,TE_discrete_.1!$AH$7,TE_discrete_.1!$AJ$7,TE_discrete_.1!$AL$7,TE_discrete_.1!$AN$7,TE_discrete_.1!$AP$7,TE_discrete_.1!$AR$7,TE_discrete_.1!$AT$7,TE_discrete_.1!$AV$7,TE_discrete_.1!$AX$7)</c:f>
              <c:numCache>
                <c:formatCode>General</c:formatCode>
                <c:ptCount val="14"/>
                <c:pt idx="0">
                  <c:v>1.3105216595942401E-2</c:v>
                </c:pt>
                <c:pt idx="1">
                  <c:v>2.87042502951593E-2</c:v>
                </c:pt>
                <c:pt idx="2">
                  <c:v>1.29141545691335E-2</c:v>
                </c:pt>
                <c:pt idx="3">
                  <c:v>0.101108258311937</c:v>
                </c:pt>
                <c:pt idx="4">
                  <c:v>0.122185378726063</c:v>
                </c:pt>
                <c:pt idx="5">
                  <c:v>7.4905031121256904E-2</c:v>
                </c:pt>
                <c:pt idx="6">
                  <c:v>8.6128068248575995E-2</c:v>
                </c:pt>
                <c:pt idx="7">
                  <c:v>3.2250518990672702E-2</c:v>
                </c:pt>
                <c:pt idx="8">
                  <c:v>0.10302380222698899</c:v>
                </c:pt>
                <c:pt idx="9">
                  <c:v>7.8275371828521401E-2</c:v>
                </c:pt>
                <c:pt idx="10">
                  <c:v>0.55962647100862295</c:v>
                </c:pt>
                <c:pt idx="11">
                  <c:v>5.7882525338869201E-2</c:v>
                </c:pt>
                <c:pt idx="12">
                  <c:v>9.7907904474810001E-2</c:v>
                </c:pt>
                <c:pt idx="13">
                  <c:v>0.17243869986694499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86-4F8C-B403-A82E4A1EB763}"/>
            </c:ext>
          </c:extLst>
        </c:ser>
        <c:ser>
          <c:idx val="6"/>
          <c:order val="6"/>
          <c:tx>
            <c:strRef>
              <c:f>TE_discrete_.1!$A$8</c:f>
              <c:strCache>
                <c:ptCount val="1"/>
                <c:pt idx="0">
                  <c:v>.6-.7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TE_discrete_.1!$B$8:$AY$8</c15:sqref>
                  </c15:fullRef>
                </c:ext>
              </c:extLst>
              <c:f>(TE_discrete_.1!$X$8,TE_discrete_.1!$Z$8,TE_discrete_.1!$AB$8,TE_discrete_.1!$AD$8,TE_discrete_.1!$AF$8,TE_discrete_.1!$AH$8,TE_discrete_.1!$AJ$8,TE_discrete_.1!$AL$8,TE_discrete_.1!$AN$8,TE_discrete_.1!$AP$8,TE_discrete_.1!$AR$8,TE_discrete_.1!$AT$8,TE_discrete_.1!$AV$8,TE_discrete_.1!$AX$8)</c:f>
              <c:numCache>
                <c:formatCode>General</c:formatCode>
                <c:ptCount val="14"/>
                <c:pt idx="0">
                  <c:v>3.3212877299785497E-2</c:v>
                </c:pt>
                <c:pt idx="1">
                  <c:v>1.5249901613537901E-3</c:v>
                </c:pt>
                <c:pt idx="2">
                  <c:v>5.0090162292125802E-3</c:v>
                </c:pt>
                <c:pt idx="3">
                  <c:v>5.13503851278884E-2</c:v>
                </c:pt>
                <c:pt idx="4">
                  <c:v>9.1925487404732498E-2</c:v>
                </c:pt>
                <c:pt idx="5">
                  <c:v>8.2235023452408504E-2</c:v>
                </c:pt>
                <c:pt idx="6">
                  <c:v>4.9577277719598398E-2</c:v>
                </c:pt>
                <c:pt idx="7">
                  <c:v>7.9997660887108496E-2</c:v>
                </c:pt>
                <c:pt idx="8">
                  <c:v>8.5172131984880994E-2</c:v>
                </c:pt>
                <c:pt idx="9">
                  <c:v>0.15830052493438301</c:v>
                </c:pt>
                <c:pt idx="10">
                  <c:v>0.135404259373957</c:v>
                </c:pt>
                <c:pt idx="11">
                  <c:v>2.8526071559408901E-2</c:v>
                </c:pt>
                <c:pt idx="12">
                  <c:v>0.155851188649614</c:v>
                </c:pt>
                <c:pt idx="13">
                  <c:v>0.22661091047329401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86-4F8C-B403-A82E4A1EB763}"/>
            </c:ext>
          </c:extLst>
        </c:ser>
        <c:ser>
          <c:idx val="7"/>
          <c:order val="7"/>
          <c:tx>
            <c:strRef>
              <c:f>TE_discrete_.1!$A$9</c:f>
              <c:strCache>
                <c:ptCount val="1"/>
                <c:pt idx="0">
                  <c:v>.7-.8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TE_discrete_.1!$B$9:$AY$9</c15:sqref>
                  </c15:fullRef>
                </c:ext>
              </c:extLst>
              <c:f>(TE_discrete_.1!$X$9,TE_discrete_.1!$Z$9,TE_discrete_.1!$AB$9,TE_discrete_.1!$AD$9,TE_discrete_.1!$AF$9,TE_discrete_.1!$AH$9,TE_discrete_.1!$AJ$9,TE_discrete_.1!$AL$9,TE_discrete_.1!$AN$9,TE_discrete_.1!$AP$9,TE_discrete_.1!$AR$9,TE_discrete_.1!$AT$9,TE_discrete_.1!$AV$9,TE_discrete_.1!$AX$9)</c:f>
              <c:numCache>
                <c:formatCode>General</c:formatCode>
                <c:ptCount val="14"/>
                <c:pt idx="0">
                  <c:v>1.6044143887481001E-3</c:v>
                </c:pt>
                <c:pt idx="1">
                  <c:v>4.7274695001967702E-2</c:v>
                </c:pt>
                <c:pt idx="2">
                  <c:v>0.12732008524434801</c:v>
                </c:pt>
                <c:pt idx="3">
                  <c:v>0.107153303649777</c:v>
                </c:pt>
                <c:pt idx="4">
                  <c:v>6.6908560615267093E-2</c:v>
                </c:pt>
                <c:pt idx="5">
                  <c:v>3.2084321663605003E-2</c:v>
                </c:pt>
                <c:pt idx="6">
                  <c:v>7.6038926208781304E-2</c:v>
                </c:pt>
                <c:pt idx="7">
                  <c:v>3.3215403058390103E-2</c:v>
                </c:pt>
                <c:pt idx="8">
                  <c:v>7.5033200531208502E-2</c:v>
                </c:pt>
                <c:pt idx="9">
                  <c:v>0.14236111111111099</c:v>
                </c:pt>
                <c:pt idx="10">
                  <c:v>0.14964981657058399</c:v>
                </c:pt>
                <c:pt idx="11">
                  <c:v>9.1000122115032306E-2</c:v>
                </c:pt>
                <c:pt idx="12">
                  <c:v>0.141356342172241</c:v>
                </c:pt>
                <c:pt idx="13">
                  <c:v>0.19956282075651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86-4F8C-B403-A82E4A1EB763}"/>
            </c:ext>
          </c:extLst>
        </c:ser>
        <c:ser>
          <c:idx val="8"/>
          <c:order val="8"/>
          <c:tx>
            <c:strRef>
              <c:f>TE_discrete_.1!$A$10</c:f>
              <c:strCache>
                <c:ptCount val="1"/>
                <c:pt idx="0">
                  <c:v>.8-.9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TE_discrete_.1!$B$10:$AY$10</c15:sqref>
                  </c15:fullRef>
                </c:ext>
              </c:extLst>
              <c:f>(TE_discrete_.1!$X$10,TE_discrete_.1!$Z$10,TE_discrete_.1!$AB$10,TE_discrete_.1!$AD$10,TE_discrete_.1!$AF$10,TE_discrete_.1!$AH$10,TE_discrete_.1!$AJ$10,TE_discrete_.1!$AL$10,TE_discrete_.1!$AN$10,TE_discrete_.1!$AP$10,TE_discrete_.1!$AR$10,TE_discrete_.1!$AT$10,TE_discrete_.1!$AV$10,TE_discrete_.1!$AX$10)</c:f>
              <c:numCache>
                <c:formatCode>General</c:formatCode>
                <c:ptCount val="14"/>
                <c:pt idx="0">
                  <c:v>1.9972709960864199E-2</c:v>
                </c:pt>
                <c:pt idx="1">
                  <c:v>6.8304801259346695E-2</c:v>
                </c:pt>
                <c:pt idx="2">
                  <c:v>0.22868435911914101</c:v>
                </c:pt>
                <c:pt idx="3">
                  <c:v>0.19116643374825301</c:v>
                </c:pt>
                <c:pt idx="4">
                  <c:v>0.15098696203190901</c:v>
                </c:pt>
                <c:pt idx="5">
                  <c:v>9.2347202653778201E-2</c:v>
                </c:pt>
                <c:pt idx="6">
                  <c:v>0.132206073918929</c:v>
                </c:pt>
                <c:pt idx="7">
                  <c:v>1.11400251454635E-2</c:v>
                </c:pt>
                <c:pt idx="8">
                  <c:v>0.30649198079476903</c:v>
                </c:pt>
                <c:pt idx="9">
                  <c:v>0.136154855643044</c:v>
                </c:pt>
                <c:pt idx="10">
                  <c:v>6.20324932107294E-2</c:v>
                </c:pt>
                <c:pt idx="11">
                  <c:v>0.308755647820246</c:v>
                </c:pt>
                <c:pt idx="12">
                  <c:v>9.3557645444863599E-2</c:v>
                </c:pt>
                <c:pt idx="13">
                  <c:v>0.25578787302794098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86-4F8C-B403-A82E4A1EB763}"/>
            </c:ext>
          </c:extLst>
        </c:ser>
        <c:ser>
          <c:idx val="9"/>
          <c:order val="9"/>
          <c:tx>
            <c:strRef>
              <c:f>TE_discrete_.1!$A$11</c:f>
              <c:strCache>
                <c:ptCount val="1"/>
                <c:pt idx="0">
                  <c:v>.9-1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X$1,TE_discrete_.1!$Z$1,TE_discrete_.1!$AB$1,TE_discrete_.1!$AD$1,TE_discrete_.1!$AF$1,TE_discrete_.1!$AH$1,TE_discrete_.1!$AJ$1,TE_discrete_.1!$AL$1,TE_discrete_.1!$AN$1,TE_discrete_.1!$AP$1,TE_discrete_.1!$AR$1,TE_discrete_.1!$AT$1,TE_discrete_.1!$AV$1,TE_discrete_.1!$AX$1)</c:f>
              <c:strCache>
                <c:ptCount val="14"/>
                <c:pt idx="0">
                  <c:v>triad_01_anno01</c:v>
                </c:pt>
                <c:pt idx="1">
                  <c:v>triad_02_anno01</c:v>
                </c:pt>
                <c:pt idx="2">
                  <c:v>triad_03_anno01</c:v>
                </c:pt>
                <c:pt idx="3">
                  <c:v>triad_04_anno01</c:v>
                </c:pt>
                <c:pt idx="4">
                  <c:v>triad_05_anno01</c:v>
                </c:pt>
                <c:pt idx="5">
                  <c:v>triad_06_anno01</c:v>
                </c:pt>
                <c:pt idx="6">
                  <c:v>triad_07_anno01</c:v>
                </c:pt>
                <c:pt idx="7">
                  <c:v>triad_08_anno01</c:v>
                </c:pt>
                <c:pt idx="8">
                  <c:v>triad_09_anno01</c:v>
                </c:pt>
                <c:pt idx="9">
                  <c:v>triad_10_anno01</c:v>
                </c:pt>
                <c:pt idx="10">
                  <c:v>triad_11_anno01</c:v>
                </c:pt>
                <c:pt idx="11">
                  <c:v>triad_12_anno01</c:v>
                </c:pt>
                <c:pt idx="12">
                  <c:v>triad_13_anno01</c:v>
                </c:pt>
                <c:pt idx="13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TE_discrete_.1!$B$11:$AY$11</c15:sqref>
                  </c15:fullRef>
                </c:ext>
              </c:extLst>
              <c:f>(TE_discrete_.1!$X$11,TE_discrete_.1!$Z$11,TE_discrete_.1!$AB$11,TE_discrete_.1!$AD$11,TE_discrete_.1!$AF$11,TE_discrete_.1!$AH$11,TE_discrete_.1!$AJ$11,TE_discrete_.1!$AL$11,TE_discrete_.1!$AN$11,TE_discrete_.1!$AP$11,TE_discrete_.1!$AR$11,TE_discrete_.1!$AT$11,TE_discrete_.1!$AV$11,TE_discrete_.1!$AX$11)</c:f>
              <c:numCache>
                <c:formatCode>General</c:formatCode>
                <c:ptCount val="14"/>
                <c:pt idx="0">
                  <c:v>0.391102247679596</c:v>
                </c:pt>
                <c:pt idx="1">
                  <c:v>0.68228551751278999</c:v>
                </c:pt>
                <c:pt idx="2">
                  <c:v>0.328555035427405</c:v>
                </c:pt>
                <c:pt idx="3">
                  <c:v>0.36219896649224798</c:v>
                </c:pt>
                <c:pt idx="4">
                  <c:v>0.41782260724640102</c:v>
                </c:pt>
                <c:pt idx="5">
                  <c:v>0.58550765993115805</c:v>
                </c:pt>
                <c:pt idx="6">
                  <c:v>0.146662920487343</c:v>
                </c:pt>
                <c:pt idx="7">
                  <c:v>0</c:v>
                </c:pt>
                <c:pt idx="8">
                  <c:v>0.30169067320461701</c:v>
                </c:pt>
                <c:pt idx="9">
                  <c:v>0</c:v>
                </c:pt>
                <c:pt idx="10">
                  <c:v>0</c:v>
                </c:pt>
                <c:pt idx="11">
                  <c:v>0.30558065697887399</c:v>
                </c:pt>
                <c:pt idx="12">
                  <c:v>0.41137926677376802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86-4F8C-B403-A82E4A1EB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6454368"/>
        <c:axId val="1856474528"/>
      </c:barChart>
      <c:catAx>
        <c:axId val="18564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74528"/>
        <c:crosses val="autoZero"/>
        <c:auto val="1"/>
        <c:lblAlgn val="ctr"/>
        <c:lblOffset val="100"/>
        <c:noMultiLvlLbl val="0"/>
      </c:catAx>
      <c:valAx>
        <c:axId val="18564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Triads Anno: Laura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TE_discrete_.1!$A$2</c:f>
              <c:strCache>
                <c:ptCount val="1"/>
                <c:pt idx="0">
                  <c:v>.0-.1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TE_discrete_.1!$B$2:$AY$2</c15:sqref>
                  </c15:fullRef>
                </c:ext>
              </c:extLst>
              <c:f>(TE_discrete_.1!$Y$2,TE_discrete_.1!$AA$2,TE_discrete_.1!$AC$2,TE_discrete_.1!$AE$2,TE_discrete_.1!$AG$2,TE_discrete_.1!$AI$2,TE_discrete_.1!$AK$2,TE_discrete_.1!$AM$2,TE_discrete_.1!$AO$2,TE_discrete_.1!$AQ$2,TE_discrete_.1!$AS$2,TE_discrete_.1!$AU$2,TE_discrete_.1!$AW$2,TE_discrete_.1!$AY$2)</c:f>
              <c:numCache>
                <c:formatCode>General</c:formatCode>
                <c:ptCount val="14"/>
                <c:pt idx="0">
                  <c:v>0.432052300910167</c:v>
                </c:pt>
                <c:pt idx="1">
                  <c:v>0.13144431326249501</c:v>
                </c:pt>
                <c:pt idx="2">
                  <c:v>0.394036538496566</c:v>
                </c:pt>
                <c:pt idx="3">
                  <c:v>0.123809678572589</c:v>
                </c:pt>
                <c:pt idx="4">
                  <c:v>0.20732278953490299</c:v>
                </c:pt>
                <c:pt idx="5">
                  <c:v>7.6082110181733803E-2</c:v>
                </c:pt>
                <c:pt idx="6">
                  <c:v>0.27731092436974702</c:v>
                </c:pt>
                <c:pt idx="7">
                  <c:v>0.85132013683810404</c:v>
                </c:pt>
                <c:pt idx="8">
                  <c:v>7.0282970681376997E-2</c:v>
                </c:pt>
                <c:pt idx="9">
                  <c:v>0.327564523184601</c:v>
                </c:pt>
                <c:pt idx="10">
                  <c:v>6.1413121158702101E-2</c:v>
                </c:pt>
                <c:pt idx="11">
                  <c:v>8.7116864085968901E-2</c:v>
                </c:pt>
                <c:pt idx="12">
                  <c:v>0.120760302532536</c:v>
                </c:pt>
                <c:pt idx="13">
                  <c:v>0.11149971488310199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9-460B-A837-7C3BD9F249DF}"/>
            </c:ext>
          </c:extLst>
        </c:ser>
        <c:ser>
          <c:idx val="1"/>
          <c:order val="1"/>
          <c:tx>
            <c:strRef>
              <c:f>TE_discrete_.1!$A$3</c:f>
              <c:strCache>
                <c:ptCount val="1"/>
                <c:pt idx="0">
                  <c:v>.1-.2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TE_discrete_.1!$B$3:$AY$3</c15:sqref>
                  </c15:fullRef>
                </c:ext>
              </c:extLst>
              <c:f>(TE_discrete_.1!$Y$3,TE_discrete_.1!$AA$3,TE_discrete_.1!$AC$3,TE_discrete_.1!$AE$3,TE_discrete_.1!$AG$3,TE_discrete_.1!$AI$3,TE_discrete_.1!$AK$3,TE_discrete_.1!$AM$3,TE_discrete_.1!$AO$3,TE_discrete_.1!$AQ$3,TE_discrete_.1!$AS$3,TE_discrete_.1!$AU$3,TE_discrete_.1!$AW$3,TE_discrete_.1!$AY$3)</c:f>
              <c:numCache>
                <c:formatCode>General</c:formatCode>
                <c:ptCount val="14"/>
                <c:pt idx="0">
                  <c:v>8.8017873476181202E-3</c:v>
                </c:pt>
                <c:pt idx="1">
                  <c:v>1.5003935458480901E-3</c:v>
                </c:pt>
                <c:pt idx="2">
                  <c:v>1.6648148485455601E-2</c:v>
                </c:pt>
                <c:pt idx="3">
                  <c:v>2.49114368357762E-2</c:v>
                </c:pt>
                <c:pt idx="4">
                  <c:v>0.13315741046162299</c:v>
                </c:pt>
                <c:pt idx="5">
                  <c:v>3.8183731340621703E-2</c:v>
                </c:pt>
                <c:pt idx="6">
                  <c:v>0.24563868100431599</c:v>
                </c:pt>
                <c:pt idx="7">
                  <c:v>0.11327154176778401</c:v>
                </c:pt>
                <c:pt idx="8">
                  <c:v>2.7147818980488299E-2</c:v>
                </c:pt>
                <c:pt idx="9">
                  <c:v>8.2513123359579998E-2</c:v>
                </c:pt>
                <c:pt idx="10">
                  <c:v>0.256801181571299</c:v>
                </c:pt>
                <c:pt idx="11">
                  <c:v>0.19789962144339901</c:v>
                </c:pt>
                <c:pt idx="12">
                  <c:v>0.110742071156519</c:v>
                </c:pt>
                <c:pt idx="13">
                  <c:v>6.8561110055122595E-2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9-460B-A837-7C3BD9F249DF}"/>
            </c:ext>
          </c:extLst>
        </c:ser>
        <c:ser>
          <c:idx val="2"/>
          <c:order val="2"/>
          <c:tx>
            <c:strRef>
              <c:f>TE_discrete_.1!$A$4</c:f>
              <c:strCache>
                <c:ptCount val="1"/>
                <c:pt idx="0">
                  <c:v>.2-.3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TE_discrete_.1!$B$4:$AY$4</c15:sqref>
                  </c15:fullRef>
                </c:ext>
              </c:extLst>
              <c:f>(TE_discrete_.1!$Y$4,TE_discrete_.1!$AA$4,TE_discrete_.1!$AC$4,TE_discrete_.1!$AE$4,TE_discrete_.1!$AG$4,TE_discrete_.1!$AI$4,TE_discrete_.1!$AK$4,TE_discrete_.1!$AM$4,TE_discrete_.1!$AO$4,TE_discrete_.1!$AQ$4,TE_discrete_.1!$AS$4,TE_discrete_.1!$AU$4,TE_discrete_.1!$AW$4,TE_discrete_.1!$AY$4)</c:f>
              <c:numCache>
                <c:formatCode>General</c:formatCode>
                <c:ptCount val="14"/>
                <c:pt idx="0">
                  <c:v>1.3570046932869499E-2</c:v>
                </c:pt>
                <c:pt idx="1">
                  <c:v>1.54466745375836E-2</c:v>
                </c:pt>
                <c:pt idx="2">
                  <c:v>5.1638403672064202E-2</c:v>
                </c:pt>
                <c:pt idx="3">
                  <c:v>6.00279502096265E-2</c:v>
                </c:pt>
                <c:pt idx="4">
                  <c:v>0.11597020885054</c:v>
                </c:pt>
                <c:pt idx="5">
                  <c:v>0.13903800538602801</c:v>
                </c:pt>
                <c:pt idx="6">
                  <c:v>0.172230594365405</c:v>
                </c:pt>
                <c:pt idx="7">
                  <c:v>4.3565977602994001E-3</c:v>
                </c:pt>
                <c:pt idx="8">
                  <c:v>0.14031055266115</c:v>
                </c:pt>
                <c:pt idx="9">
                  <c:v>0.29721675415573001</c:v>
                </c:pt>
                <c:pt idx="10">
                  <c:v>0.29734622897708302</c:v>
                </c:pt>
                <c:pt idx="11">
                  <c:v>0.24882158993772099</c:v>
                </c:pt>
                <c:pt idx="12">
                  <c:v>0.45316702467553499</c:v>
                </c:pt>
                <c:pt idx="13">
                  <c:v>0.112621174681619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9-460B-A837-7C3BD9F249DF}"/>
            </c:ext>
          </c:extLst>
        </c:ser>
        <c:ser>
          <c:idx val="3"/>
          <c:order val="3"/>
          <c:tx>
            <c:strRef>
              <c:f>TE_discrete_.1!$A$5</c:f>
              <c:strCache>
                <c:ptCount val="1"/>
                <c:pt idx="0">
                  <c:v>.3-.4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TE_discrete_.1!$B$5:$AY$5</c15:sqref>
                  </c15:fullRef>
                </c:ext>
              </c:extLst>
              <c:f>(TE_discrete_.1!$Y$5,TE_discrete_.1!$AA$5,TE_discrete_.1!$AC$5,TE_discrete_.1!$AE$5,TE_discrete_.1!$AG$5,TE_discrete_.1!$AI$5,TE_discrete_.1!$AK$5,TE_discrete_.1!$AM$5,TE_discrete_.1!$AO$5,TE_discrete_.1!$AQ$5,TE_discrete_.1!$AS$5,TE_discrete_.1!$AU$5,TE_discrete_.1!$AW$5,TE_discrete_.1!$AY$5)</c:f>
              <c:numCache>
                <c:formatCode>General</c:formatCode>
                <c:ptCount val="14"/>
                <c:pt idx="0">
                  <c:v>0.120106161251143</c:v>
                </c:pt>
                <c:pt idx="1">
                  <c:v>5.3153286107831502E-2</c:v>
                </c:pt>
                <c:pt idx="2">
                  <c:v>6.1292144041092102E-2</c:v>
                </c:pt>
                <c:pt idx="3">
                  <c:v>5.9849198868991503E-2</c:v>
                </c:pt>
                <c:pt idx="4">
                  <c:v>5.4721272200135403E-2</c:v>
                </c:pt>
                <c:pt idx="5">
                  <c:v>0.28973979418950901</c:v>
                </c:pt>
                <c:pt idx="6">
                  <c:v>1.8901177492273501E-2</c:v>
                </c:pt>
                <c:pt idx="7">
                  <c:v>1.09938305897488E-2</c:v>
                </c:pt>
                <c:pt idx="8">
                  <c:v>0.136632955358054</c:v>
                </c:pt>
                <c:pt idx="9">
                  <c:v>0.119340551181102</c:v>
                </c:pt>
                <c:pt idx="10">
                  <c:v>0.38443946829291498</c:v>
                </c:pt>
                <c:pt idx="11">
                  <c:v>0.21531322505800399</c:v>
                </c:pt>
                <c:pt idx="12">
                  <c:v>0.124605137276846</c:v>
                </c:pt>
                <c:pt idx="13">
                  <c:v>0.34725337388329203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9-460B-A837-7C3BD9F249DF}"/>
            </c:ext>
          </c:extLst>
        </c:ser>
        <c:ser>
          <c:idx val="4"/>
          <c:order val="4"/>
          <c:tx>
            <c:strRef>
              <c:f>TE_discrete_.1!$A$6</c:f>
              <c:strCache>
                <c:ptCount val="1"/>
                <c:pt idx="0">
                  <c:v>.4-.5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TE_discrete_.1!$B$6:$AY$6</c15:sqref>
                  </c15:fullRef>
                </c:ext>
              </c:extLst>
              <c:f>(TE_discrete_.1!$Y$6,TE_discrete_.1!$AA$6,TE_discrete_.1!$AC$6,TE_discrete_.1!$AE$6,TE_discrete_.1!$AG$6,TE_discrete_.1!$AI$6,TE_discrete_.1!$AK$6,TE_discrete_.1!$AM$6,TE_discrete_.1!$AO$6,TE_discrete_.1!$AQ$6,TE_discrete_.1!$AS$6,TE_discrete_.1!$AU$6,TE_discrete_.1!$AW$6,TE_discrete_.1!$AY$6)</c:f>
              <c:numCache>
                <c:formatCode>General</c:formatCode>
                <c:ptCount val="14"/>
                <c:pt idx="0">
                  <c:v>0.19791276184192699</c:v>
                </c:pt>
                <c:pt idx="1">
                  <c:v>0.19138626524990099</c:v>
                </c:pt>
                <c:pt idx="2">
                  <c:v>0.35070399446276002</c:v>
                </c:pt>
                <c:pt idx="3">
                  <c:v>0.42094315707367802</c:v>
                </c:pt>
                <c:pt idx="4">
                  <c:v>0.12465061370462301</c:v>
                </c:pt>
                <c:pt idx="5">
                  <c:v>0.158620320664871</c:v>
                </c:pt>
                <c:pt idx="6">
                  <c:v>6.2552680646726699E-2</c:v>
                </c:pt>
                <c:pt idx="7">
                  <c:v>0</c:v>
                </c:pt>
                <c:pt idx="8">
                  <c:v>0.117504341607927</c:v>
                </c:pt>
                <c:pt idx="9">
                  <c:v>0.115430883639545</c:v>
                </c:pt>
                <c:pt idx="10">
                  <c:v>0</c:v>
                </c:pt>
                <c:pt idx="11">
                  <c:v>0.119306386616192</c:v>
                </c:pt>
                <c:pt idx="12">
                  <c:v>3.6571057239300299E-2</c:v>
                </c:pt>
                <c:pt idx="13">
                  <c:v>0.13164797567002401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19-460B-A837-7C3BD9F249DF}"/>
            </c:ext>
          </c:extLst>
        </c:ser>
        <c:ser>
          <c:idx val="5"/>
          <c:order val="5"/>
          <c:tx>
            <c:strRef>
              <c:f>TE_discrete_.1!$A$7</c:f>
              <c:strCache>
                <c:ptCount val="1"/>
                <c:pt idx="0">
                  <c:v>.5-.6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TE_discrete_.1!$B$7:$AY$7</c15:sqref>
                  </c15:fullRef>
                </c:ext>
              </c:extLst>
              <c:f>(TE_discrete_.1!$Y$7,TE_discrete_.1!$AA$7,TE_discrete_.1!$AC$7,TE_discrete_.1!$AE$7,TE_discrete_.1!$AG$7,TE_discrete_.1!$AI$7,TE_discrete_.1!$AK$7,TE_discrete_.1!$AM$7,TE_discrete_.1!$AO$7,TE_discrete_.1!$AQ$7,TE_discrete_.1!$AS$7,TE_discrete_.1!$AU$7,TE_discrete_.1!$AW$7,TE_discrete_.1!$AY$7)</c:f>
              <c:numCache>
                <c:formatCode>General</c:formatCode>
                <c:ptCount val="14"/>
                <c:pt idx="0">
                  <c:v>0.21268237093460801</c:v>
                </c:pt>
                <c:pt idx="1">
                  <c:v>0.38139512003148301</c:v>
                </c:pt>
                <c:pt idx="2">
                  <c:v>0.12218356678384699</c:v>
                </c:pt>
                <c:pt idx="3">
                  <c:v>0.223812928596964</c:v>
                </c:pt>
                <c:pt idx="4">
                  <c:v>2.68918942379472E-2</c:v>
                </c:pt>
                <c:pt idx="5">
                  <c:v>0.23008328726079399</c:v>
                </c:pt>
                <c:pt idx="6">
                  <c:v>7.0496283619830902E-2</c:v>
                </c:pt>
                <c:pt idx="7">
                  <c:v>0</c:v>
                </c:pt>
                <c:pt idx="8">
                  <c:v>0.46820410665032097</c:v>
                </c:pt>
                <c:pt idx="9">
                  <c:v>2.6438101487314E-2</c:v>
                </c:pt>
                <c:pt idx="10">
                  <c:v>0</c:v>
                </c:pt>
                <c:pt idx="11">
                  <c:v>0.12382464281353001</c:v>
                </c:pt>
                <c:pt idx="12">
                  <c:v>0.146934060181591</c:v>
                </c:pt>
                <c:pt idx="13">
                  <c:v>0.21199391750617699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19-460B-A837-7C3BD9F249DF}"/>
            </c:ext>
          </c:extLst>
        </c:ser>
        <c:ser>
          <c:idx val="6"/>
          <c:order val="6"/>
          <c:tx>
            <c:strRef>
              <c:f>TE_discrete_.1!$A$8</c:f>
              <c:strCache>
                <c:ptCount val="1"/>
                <c:pt idx="0">
                  <c:v>.6-.7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TE_discrete_.1!$B$8:$AY$8</c15:sqref>
                  </c15:fullRef>
                </c:ext>
              </c:extLst>
              <c:f>(TE_discrete_.1!$Y$8,TE_discrete_.1!$AA$8,TE_discrete_.1!$AC$8,TE_discrete_.1!$AE$8,TE_discrete_.1!$AG$8,TE_discrete_.1!$AI$8,TE_discrete_.1!$AK$8,TE_discrete_.1!$AM$8,TE_discrete_.1!$AO$8,TE_discrete_.1!$AQ$8,TE_discrete_.1!$AS$8,TE_discrete_.1!$AU$8,TE_discrete_.1!$AW$8,TE_discrete_.1!$AY$8)</c:f>
              <c:numCache>
                <c:formatCode>General</c:formatCode>
                <c:ptCount val="14"/>
                <c:pt idx="0" formatCode="0.00E+00">
                  <c:v>1.49945269976458E-5</c:v>
                </c:pt>
                <c:pt idx="1">
                  <c:v>0.22567394726485601</c:v>
                </c:pt>
                <c:pt idx="2">
                  <c:v>3.4061310358645498E-3</c:v>
                </c:pt>
                <c:pt idx="3">
                  <c:v>5.43241574311807E-2</c:v>
                </c:pt>
                <c:pt idx="4">
                  <c:v>0</c:v>
                </c:pt>
                <c:pt idx="5">
                  <c:v>5.48411834994917E-2</c:v>
                </c:pt>
                <c:pt idx="6">
                  <c:v>0</c:v>
                </c:pt>
                <c:pt idx="7">
                  <c:v>0</c:v>
                </c:pt>
                <c:pt idx="8">
                  <c:v>3.3685769741546599E-2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E+00">
                  <c:v>3.6101734688351699E-5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19-460B-A837-7C3BD9F249DF}"/>
            </c:ext>
          </c:extLst>
        </c:ser>
        <c:ser>
          <c:idx val="7"/>
          <c:order val="7"/>
          <c:tx>
            <c:strRef>
              <c:f>TE_discrete_.1!$A$9</c:f>
              <c:strCache>
                <c:ptCount val="1"/>
                <c:pt idx="0">
                  <c:v>.7-.8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TE_discrete_.1!$B$9:$AY$9</c15:sqref>
                  </c15:fullRef>
                </c:ext>
              </c:extLst>
              <c:f>(TE_discrete_.1!$Y$9,TE_discrete_.1!$AA$9,TE_discrete_.1!$AC$9,TE_discrete_.1!$AE$9,TE_discrete_.1!$AG$9,TE_discrete_.1!$AI$9,TE_discrete_.1!$AK$9,TE_discrete_.1!$AM$9,TE_discrete_.1!$AO$9,TE_discrete_.1!$AQ$9,TE_discrete_.1!$AS$9,TE_discrete_.1!$AU$9,TE_discrete_.1!$AW$9,TE_discrete_.1!$AY$9)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1.53233220962304E-4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19-460B-A837-7C3BD9F249DF}"/>
            </c:ext>
          </c:extLst>
        </c:ser>
        <c:ser>
          <c:idx val="8"/>
          <c:order val="8"/>
          <c:tx>
            <c:strRef>
              <c:f>TE_discrete_.1!$A$10</c:f>
              <c:strCache>
                <c:ptCount val="1"/>
                <c:pt idx="0">
                  <c:v>.8-.9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TE_discrete_.1!$B$10:$AY$10</c15:sqref>
                  </c15:fullRef>
                </c:ext>
              </c:extLst>
              <c:f>(TE_discrete_.1!$Y$10,TE_discrete_.1!$AA$10,TE_discrete_.1!$AC$10,TE_discrete_.1!$AE$10,TE_discrete_.1!$AG$10,TE_discrete_.1!$AI$10,TE_discrete_.1!$AK$10,TE_discrete_.1!$AM$10,TE_discrete_.1!$AO$10,TE_discrete_.1!$AQ$10,TE_discrete_.1!$AS$10,TE_discrete_.1!$AU$10,TE_discrete_.1!$AW$10,TE_discrete_.1!$AY$10)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6.02717335785064E-3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19-460B-A837-7C3BD9F249DF}"/>
            </c:ext>
          </c:extLst>
        </c:ser>
        <c:ser>
          <c:idx val="9"/>
          <c:order val="9"/>
          <c:tx>
            <c:strRef>
              <c:f>TE_discrete_.1!$A$11</c:f>
              <c:strCache>
                <c:ptCount val="1"/>
                <c:pt idx="0">
                  <c:v>.9-1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Y$1,TE_discrete_.1!$AA$1,TE_discrete_.1!$AC$1,TE_discrete_.1!$AE$1,TE_discrete_.1!$AG$1,TE_discrete_.1!$AI$1,TE_discrete_.1!$AK$1,TE_discrete_.1!$AM$1,TE_discrete_.1!$AO$1,TE_discrete_.1!$AQ$1,TE_discrete_.1!$AS$1,TE_discrete_.1!$AU$1,TE_discrete_.1!$AW$1,TE_discrete_.1!$AY$1)</c:f>
              <c:strCache>
                <c:ptCount val="14"/>
                <c:pt idx="0">
                  <c:v>triad_01_anno02</c:v>
                </c:pt>
                <c:pt idx="1">
                  <c:v>triad_02_anno02</c:v>
                </c:pt>
                <c:pt idx="2">
                  <c:v>triad_03_anno02</c:v>
                </c:pt>
                <c:pt idx="3">
                  <c:v>triad_04_anno02</c:v>
                </c:pt>
                <c:pt idx="4">
                  <c:v>triad_05_anno02</c:v>
                </c:pt>
                <c:pt idx="5">
                  <c:v>triad_06_anno02</c:v>
                </c:pt>
                <c:pt idx="6">
                  <c:v>triad_07_anno02</c:v>
                </c:pt>
                <c:pt idx="7">
                  <c:v>triad_08_anno02</c:v>
                </c:pt>
                <c:pt idx="8">
                  <c:v>triad_09_anno02</c:v>
                </c:pt>
                <c:pt idx="9">
                  <c:v>triad_10_anno02</c:v>
                </c:pt>
                <c:pt idx="10">
                  <c:v>triad_11_anno02</c:v>
                </c:pt>
                <c:pt idx="11">
                  <c:v>triad_12_anno02</c:v>
                </c:pt>
                <c:pt idx="12">
                  <c:v>triad_13_anno02</c:v>
                </c:pt>
                <c:pt idx="13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TE_discrete_.1!$B$11:$AY$11</c15:sqref>
                  </c15:fullRef>
                </c:ext>
              </c:extLst>
              <c:f>(TE_discrete_.1!$Y$11,TE_discrete_.1!$AA$11,TE_discrete_.1!$AC$11,TE_discrete_.1!$AE$11,TE_discrete_.1!$AG$11,TE_discrete_.1!$AI$11,TE_discrete_.1!$AK$11,TE_discrete_.1!$AM$11,TE_discrete_.1!$AO$11,TE_discrete_.1!$AQ$11,TE_discrete_.1!$AS$11,TE_discrete_.1!$AU$11,TE_discrete_.1!$AW$11,TE_discrete_.1!$AY$11)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219-460B-A837-7C3BD9F2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6454368"/>
        <c:axId val="1856474528"/>
      </c:barChart>
      <c:catAx>
        <c:axId val="18564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74528"/>
        <c:crosses val="autoZero"/>
        <c:auto val="1"/>
        <c:lblAlgn val="ctr"/>
        <c:lblOffset val="100"/>
        <c:noMultiLvlLbl val="0"/>
      </c:catAx>
      <c:valAx>
        <c:axId val="18564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Dyads Anno Helen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TE_discrete_.1!$A$2</c:f>
              <c:strCache>
                <c:ptCount val="1"/>
                <c:pt idx="0">
                  <c:v>.0-.1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TE_discrete_.1!$B$2:$AY$2</c15:sqref>
                  </c15:fullRef>
                </c:ext>
              </c:extLst>
              <c:f>(TE_discrete_.1!$B$2,TE_discrete_.1!$D$2,TE_discrete_.1!$F$2,TE_discrete_.1!$H$2,TE_discrete_.1!$J$2,TE_discrete_.1!$L$2,TE_discrete_.1!$N$2,TE_discrete_.1!$P$2,TE_discrete_.1!$R$2,TE_discrete_.1!$T$2,TE_discrete_.1!$V$2)</c:f>
              <c:numCache>
                <c:formatCode>General</c:formatCode>
                <c:ptCount val="11"/>
                <c:pt idx="0">
                  <c:v>1.6895169409309699E-2</c:v>
                </c:pt>
                <c:pt idx="1">
                  <c:v>0.18890713209329499</c:v>
                </c:pt>
                <c:pt idx="2">
                  <c:v>2.6766695902768999E-2</c:v>
                </c:pt>
                <c:pt idx="3">
                  <c:v>0.15033416945842601</c:v>
                </c:pt>
                <c:pt idx="4">
                  <c:v>0.218153678696554</c:v>
                </c:pt>
                <c:pt idx="5">
                  <c:v>5.3137177269790899E-2</c:v>
                </c:pt>
                <c:pt idx="6">
                  <c:v>0.16889802546340199</c:v>
                </c:pt>
                <c:pt idx="7">
                  <c:v>0.151395345666725</c:v>
                </c:pt>
                <c:pt idx="8">
                  <c:v>0.55607103175376604</c:v>
                </c:pt>
                <c:pt idx="9">
                  <c:v>0.64354714064914997</c:v>
                </c:pt>
                <c:pt idx="10">
                  <c:v>4.9339261454859798E-2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5-4D84-B8A4-475F0F65209A}"/>
            </c:ext>
          </c:extLst>
        </c:ser>
        <c:ser>
          <c:idx val="1"/>
          <c:order val="1"/>
          <c:tx>
            <c:strRef>
              <c:f>TE_discrete_.1!$A$3</c:f>
              <c:strCache>
                <c:ptCount val="1"/>
                <c:pt idx="0">
                  <c:v>.1-.2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TE_discrete_.1!$B$3:$AY$3</c15:sqref>
                  </c15:fullRef>
                </c:ext>
              </c:extLst>
              <c:f>(TE_discrete_.1!$B$3,TE_discrete_.1!$D$3,TE_discrete_.1!$F$3,TE_discrete_.1!$H$3,TE_discrete_.1!$J$3,TE_discrete_.1!$L$3,TE_discrete_.1!$N$3,TE_discrete_.1!$P$3,TE_discrete_.1!$R$3,TE_discrete_.1!$T$3,TE_discrete_.1!$V$3)</c:f>
              <c:numCache>
                <c:formatCode>General</c:formatCode>
                <c:ptCount val="11"/>
                <c:pt idx="0">
                  <c:v>4.42239753985832E-2</c:v>
                </c:pt>
                <c:pt idx="1">
                  <c:v>0.15199838060322499</c:v>
                </c:pt>
                <c:pt idx="2">
                  <c:v>5.3611702794135997E-2</c:v>
                </c:pt>
                <c:pt idx="3">
                  <c:v>3.68007272604838E-2</c:v>
                </c:pt>
                <c:pt idx="4">
                  <c:v>1.6871322153814702E-2</c:v>
                </c:pt>
                <c:pt idx="5">
                  <c:v>3.75085957198524E-3</c:v>
                </c:pt>
                <c:pt idx="6">
                  <c:v>8.9484685680722795E-3</c:v>
                </c:pt>
                <c:pt idx="7">
                  <c:v>1.7436708429332901E-2</c:v>
                </c:pt>
                <c:pt idx="8">
                  <c:v>1.7426560885752701E-2</c:v>
                </c:pt>
                <c:pt idx="9">
                  <c:v>5.2439832192536897E-3</c:v>
                </c:pt>
                <c:pt idx="10">
                  <c:v>3.2316495821497599E-3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5-4D84-B8A4-475F0F65209A}"/>
            </c:ext>
          </c:extLst>
        </c:ser>
        <c:ser>
          <c:idx val="2"/>
          <c:order val="2"/>
          <c:tx>
            <c:strRef>
              <c:f>TE_discrete_.1!$A$4</c:f>
              <c:strCache>
                <c:ptCount val="1"/>
                <c:pt idx="0">
                  <c:v>.2-.3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TE_discrete_.1!$B$4:$AY$4</c15:sqref>
                  </c15:fullRef>
                </c:ext>
              </c:extLst>
              <c:f>(TE_discrete_.1!$B$4,TE_discrete_.1!$D$4,TE_discrete_.1!$F$4,TE_discrete_.1!$H$4,TE_discrete_.1!$J$4,TE_discrete_.1!$L$4,TE_discrete_.1!$N$4,TE_discrete_.1!$P$4,TE_discrete_.1!$R$4,TE_discrete_.1!$T$4,TE_discrete_.1!$V$4)</c:f>
              <c:numCache>
                <c:formatCode>General</c:formatCode>
                <c:ptCount val="11"/>
                <c:pt idx="0">
                  <c:v>8.3194523256026803E-2</c:v>
                </c:pt>
                <c:pt idx="1">
                  <c:v>2.3953577292458499E-2</c:v>
                </c:pt>
                <c:pt idx="2">
                  <c:v>2.4683623606064398E-2</c:v>
                </c:pt>
                <c:pt idx="3">
                  <c:v>7.79448157438427E-3</c:v>
                </c:pt>
                <c:pt idx="4">
                  <c:v>1.6037960474846E-2</c:v>
                </c:pt>
                <c:pt idx="5">
                  <c:v>3.3549355060534698E-3</c:v>
                </c:pt>
                <c:pt idx="6">
                  <c:v>1.3388152780417001E-2</c:v>
                </c:pt>
                <c:pt idx="7">
                  <c:v>5.8213248626467198E-3</c:v>
                </c:pt>
                <c:pt idx="8">
                  <c:v>4.88099647180366E-2</c:v>
                </c:pt>
                <c:pt idx="9">
                  <c:v>3.56038860675645E-3</c:v>
                </c:pt>
                <c:pt idx="10">
                  <c:v>2.6758881890412002E-3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35-4D84-B8A4-475F0F65209A}"/>
            </c:ext>
          </c:extLst>
        </c:ser>
        <c:ser>
          <c:idx val="3"/>
          <c:order val="3"/>
          <c:tx>
            <c:strRef>
              <c:f>TE_discrete_.1!$A$5</c:f>
              <c:strCache>
                <c:ptCount val="1"/>
                <c:pt idx="0">
                  <c:v>.3-.4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TE_discrete_.1!$B$5:$AY$5</c15:sqref>
                  </c15:fullRef>
                </c:ext>
              </c:extLst>
              <c:f>(TE_discrete_.1!$B$5,TE_discrete_.1!$D$5,TE_discrete_.1!$F$5,TE_discrete_.1!$H$5,TE_discrete_.1!$J$5,TE_discrete_.1!$L$5,TE_discrete_.1!$N$5,TE_discrete_.1!$P$5,TE_discrete_.1!$R$5,TE_discrete_.1!$T$5,TE_discrete_.1!$V$5)</c:f>
              <c:numCache>
                <c:formatCode>General</c:formatCode>
                <c:ptCount val="11"/>
                <c:pt idx="0">
                  <c:v>3.4504219216195897E-2</c:v>
                </c:pt>
                <c:pt idx="1">
                  <c:v>5.1055981646836501E-2</c:v>
                </c:pt>
                <c:pt idx="2">
                  <c:v>1.4675479263250199E-2</c:v>
                </c:pt>
                <c:pt idx="3">
                  <c:v>1.00166663860877E-2</c:v>
                </c:pt>
                <c:pt idx="4">
                  <c:v>1.6020953093642602E-2</c:v>
                </c:pt>
                <c:pt idx="5">
                  <c:v>2.4588968305236602E-3</c:v>
                </c:pt>
                <c:pt idx="6">
                  <c:v>8.6893430303867803E-3</c:v>
                </c:pt>
                <c:pt idx="7">
                  <c:v>1.7014082970920601E-2</c:v>
                </c:pt>
                <c:pt idx="8">
                  <c:v>5.0388881308356497E-2</c:v>
                </c:pt>
                <c:pt idx="9">
                  <c:v>5.0783837491720002E-3</c:v>
                </c:pt>
                <c:pt idx="10">
                  <c:v>2.59355316783994E-3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35-4D84-B8A4-475F0F65209A}"/>
            </c:ext>
          </c:extLst>
        </c:ser>
        <c:ser>
          <c:idx val="4"/>
          <c:order val="4"/>
          <c:tx>
            <c:strRef>
              <c:f>TE_discrete_.1!$A$6</c:f>
              <c:strCache>
                <c:ptCount val="1"/>
                <c:pt idx="0">
                  <c:v>.4-.5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TE_discrete_.1!$B$6:$AY$6</c15:sqref>
                  </c15:fullRef>
                </c:ext>
              </c:extLst>
              <c:f>(TE_discrete_.1!$B$6,TE_discrete_.1!$D$6,TE_discrete_.1!$F$6,TE_discrete_.1!$H$6,TE_discrete_.1!$J$6,TE_discrete_.1!$L$6,TE_discrete_.1!$N$6,TE_discrete_.1!$P$6,TE_discrete_.1!$R$6,TE_discrete_.1!$T$6,TE_discrete_.1!$V$6)</c:f>
              <c:numCache>
                <c:formatCode>General</c:formatCode>
                <c:ptCount val="11"/>
                <c:pt idx="0">
                  <c:v>7.5323534257106695E-2</c:v>
                </c:pt>
                <c:pt idx="1">
                  <c:v>4.3768696160680097E-2</c:v>
                </c:pt>
                <c:pt idx="2">
                  <c:v>7.1028066658313405E-2</c:v>
                </c:pt>
                <c:pt idx="3">
                  <c:v>7.4460025925489406E-2</c:v>
                </c:pt>
                <c:pt idx="4">
                  <c:v>0.18235314126330801</c:v>
                </c:pt>
                <c:pt idx="5">
                  <c:v>2.5214111567234102E-3</c:v>
                </c:pt>
                <c:pt idx="6">
                  <c:v>6.0929051427781697E-2</c:v>
                </c:pt>
                <c:pt idx="7">
                  <c:v>0.15643958500906599</c:v>
                </c:pt>
                <c:pt idx="8">
                  <c:v>0.134285881366834</c:v>
                </c:pt>
                <c:pt idx="9">
                  <c:v>0.12397880326782899</c:v>
                </c:pt>
                <c:pt idx="10">
                  <c:v>8.1573422255156194E-2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35-4D84-B8A4-475F0F65209A}"/>
            </c:ext>
          </c:extLst>
        </c:ser>
        <c:ser>
          <c:idx val="5"/>
          <c:order val="5"/>
          <c:tx>
            <c:strRef>
              <c:f>TE_discrete_.1!$A$7</c:f>
              <c:strCache>
                <c:ptCount val="1"/>
                <c:pt idx="0">
                  <c:v>.5-.6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TE_discrete_.1!$B$7:$AY$7</c15:sqref>
                  </c15:fullRef>
                </c:ext>
              </c:extLst>
              <c:f>(TE_discrete_.1!$B$7,TE_discrete_.1!$D$7,TE_discrete_.1!$F$7,TE_discrete_.1!$H$7,TE_discrete_.1!$J$7,TE_discrete_.1!$L$7,TE_discrete_.1!$N$7,TE_discrete_.1!$P$7,TE_discrete_.1!$R$7,TE_discrete_.1!$T$7,TE_discrete_.1!$V$7)</c:f>
              <c:numCache>
                <c:formatCode>General</c:formatCode>
                <c:ptCount val="11"/>
                <c:pt idx="0">
                  <c:v>4.2887737731324697E-2</c:v>
                </c:pt>
                <c:pt idx="1">
                  <c:v>3.3197633881379099E-2</c:v>
                </c:pt>
                <c:pt idx="2">
                  <c:v>3.8591655181055E-2</c:v>
                </c:pt>
                <c:pt idx="3">
                  <c:v>3.1851315634416899E-2</c:v>
                </c:pt>
                <c:pt idx="4">
                  <c:v>9.4033810673832402E-2</c:v>
                </c:pt>
                <c:pt idx="5">
                  <c:v>2.6464398091229201E-3</c:v>
                </c:pt>
                <c:pt idx="6">
                  <c:v>3.2252491923920698E-2</c:v>
                </c:pt>
                <c:pt idx="7">
                  <c:v>0.27011220024266802</c:v>
                </c:pt>
                <c:pt idx="8">
                  <c:v>6.4735580203114901E-2</c:v>
                </c:pt>
                <c:pt idx="9">
                  <c:v>9.7703687348200396E-2</c:v>
                </c:pt>
                <c:pt idx="10">
                  <c:v>0.24161211971512001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35-4D84-B8A4-475F0F65209A}"/>
            </c:ext>
          </c:extLst>
        </c:ser>
        <c:ser>
          <c:idx val="6"/>
          <c:order val="6"/>
          <c:tx>
            <c:strRef>
              <c:f>TE_discrete_.1!$A$8</c:f>
              <c:strCache>
                <c:ptCount val="1"/>
                <c:pt idx="0">
                  <c:v>.6-.7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TE_discrete_.1!$B$8:$AY$8</c15:sqref>
                  </c15:fullRef>
                </c:ext>
              </c:extLst>
              <c:f>(TE_discrete_.1!$B$8,TE_discrete_.1!$D$8,TE_discrete_.1!$F$8,TE_discrete_.1!$H$8,TE_discrete_.1!$J$8,TE_discrete_.1!$L$8,TE_discrete_.1!$N$8,TE_discrete_.1!$P$8,TE_discrete_.1!$R$8,TE_discrete_.1!$T$8,TE_discrete_.1!$V$8)</c:f>
              <c:numCache>
                <c:formatCode>General</c:formatCode>
                <c:ptCount val="11"/>
                <c:pt idx="0">
                  <c:v>1.32525489191118E-2</c:v>
                </c:pt>
                <c:pt idx="1">
                  <c:v>3.11733879130024E-2</c:v>
                </c:pt>
                <c:pt idx="2">
                  <c:v>4.5342062398195701E-2</c:v>
                </c:pt>
                <c:pt idx="3">
                  <c:v>3.0790727428831099E-2</c:v>
                </c:pt>
                <c:pt idx="4">
                  <c:v>2.9235688288717299E-2</c:v>
                </c:pt>
                <c:pt idx="5">
                  <c:v>4.9803079872470703E-3</c:v>
                </c:pt>
                <c:pt idx="6">
                  <c:v>1.40791542142449E-2</c:v>
                </c:pt>
                <c:pt idx="7">
                  <c:v>4.8083870703875799E-2</c:v>
                </c:pt>
                <c:pt idx="8">
                  <c:v>6.4716087405703596E-3</c:v>
                </c:pt>
                <c:pt idx="9">
                  <c:v>3.6128284389489902E-2</c:v>
                </c:pt>
                <c:pt idx="10">
                  <c:v>3.60009880202544E-2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35-4D84-B8A4-475F0F65209A}"/>
            </c:ext>
          </c:extLst>
        </c:ser>
        <c:ser>
          <c:idx val="7"/>
          <c:order val="7"/>
          <c:tx>
            <c:strRef>
              <c:f>TE_discrete_.1!$A$9</c:f>
              <c:strCache>
                <c:ptCount val="1"/>
                <c:pt idx="0">
                  <c:v>.7-.8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TE_discrete_.1!$B$9:$AY$9</c15:sqref>
                  </c15:fullRef>
                </c:ext>
              </c:extLst>
              <c:f>(TE_discrete_.1!$B$9,TE_discrete_.1!$D$9,TE_discrete_.1!$F$9,TE_discrete_.1!$H$9,TE_discrete_.1!$J$9,TE_discrete_.1!$L$9,TE_discrete_.1!$N$9,TE_discrete_.1!$P$9,TE_discrete_.1!$R$9,TE_discrete_.1!$T$9,TE_discrete_.1!$V$9)</c:f>
              <c:numCache>
                <c:formatCode>General</c:formatCode>
                <c:ptCount val="11"/>
                <c:pt idx="0">
                  <c:v>9.7380608079661694E-3</c:v>
                </c:pt>
                <c:pt idx="1">
                  <c:v>5.5306898180427701E-2</c:v>
                </c:pt>
                <c:pt idx="2">
                  <c:v>6.8193208871068695E-2</c:v>
                </c:pt>
                <c:pt idx="3">
                  <c:v>3.4780559249844203E-2</c:v>
                </c:pt>
                <c:pt idx="4">
                  <c:v>4.4797442089867003E-2</c:v>
                </c:pt>
                <c:pt idx="5">
                  <c:v>3.3757736147867201E-3</c:v>
                </c:pt>
                <c:pt idx="6">
                  <c:v>6.5645136213657602E-3</c:v>
                </c:pt>
                <c:pt idx="7">
                  <c:v>2.20855884718681E-2</c:v>
                </c:pt>
                <c:pt idx="8">
                  <c:v>1.23584335588E-2</c:v>
                </c:pt>
                <c:pt idx="9">
                  <c:v>1.03499668801059E-2</c:v>
                </c:pt>
                <c:pt idx="10">
                  <c:v>7.6509818451278203E-2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35-4D84-B8A4-475F0F65209A}"/>
            </c:ext>
          </c:extLst>
        </c:ser>
        <c:ser>
          <c:idx val="8"/>
          <c:order val="8"/>
          <c:tx>
            <c:strRef>
              <c:f>TE_discrete_.1!$A$10</c:f>
              <c:strCache>
                <c:ptCount val="1"/>
                <c:pt idx="0">
                  <c:v>.8-.9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TE_discrete_.1!$B$10:$AY$10</c15:sqref>
                  </c15:fullRef>
                </c:ext>
              </c:extLst>
              <c:f>(TE_discrete_.1!$B$10,TE_discrete_.1!$D$10,TE_discrete_.1!$F$10,TE_discrete_.1!$H$10,TE_discrete_.1!$J$10,TE_discrete_.1!$L$10,TE_discrete_.1!$N$10,TE_discrete_.1!$P$10,TE_discrete_.1!$R$10,TE_discrete_.1!$T$10,TE_discrete_.1!$V$10)</c:f>
              <c:numCache>
                <c:formatCode>General</c:formatCode>
                <c:ptCount val="11"/>
                <c:pt idx="0">
                  <c:v>0.20265050978382201</c:v>
                </c:pt>
                <c:pt idx="1">
                  <c:v>0.33561998155687001</c:v>
                </c:pt>
                <c:pt idx="2">
                  <c:v>0.26464415486781101</c:v>
                </c:pt>
                <c:pt idx="3">
                  <c:v>0.26689786367232798</c:v>
                </c:pt>
                <c:pt idx="4">
                  <c:v>5.0477907411816701E-2</c:v>
                </c:pt>
                <c:pt idx="5">
                  <c:v>8.5853007980995592E-3</c:v>
                </c:pt>
                <c:pt idx="6">
                  <c:v>1.7983312315373E-2</c:v>
                </c:pt>
                <c:pt idx="7">
                  <c:v>3.1028888495044302E-2</c:v>
                </c:pt>
                <c:pt idx="8">
                  <c:v>8.9861796066353396E-3</c:v>
                </c:pt>
                <c:pt idx="9">
                  <c:v>3.6873482004857502E-2</c:v>
                </c:pt>
                <c:pt idx="10">
                  <c:v>5.0944794368284502E-2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35-4D84-B8A4-475F0F65209A}"/>
            </c:ext>
          </c:extLst>
        </c:ser>
        <c:ser>
          <c:idx val="9"/>
          <c:order val="9"/>
          <c:tx>
            <c:strRef>
              <c:f>TE_discrete_.1!$A$11</c:f>
              <c:strCache>
                <c:ptCount val="1"/>
                <c:pt idx="0">
                  <c:v>.9-1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(TE_discrete_.1!$B$1,TE_discrete_.1!$D$1,TE_discrete_.1!$F$1,TE_discrete_.1!$H$1,TE_discrete_.1!$J$1,TE_discrete_.1!$L$1,TE_discrete_.1!$N$1,TE_discrete_.1!$P$1,TE_discrete_.1!$R$1,TE_discrete_.1!$T$1,TE_discrete_.1!$V$1)</c:f>
              <c:strCache>
                <c:ptCount val="11"/>
                <c:pt idx="0">
                  <c:v>dyad_01_anno01</c:v>
                </c:pt>
                <c:pt idx="1">
                  <c:v>dyad_02_anno01</c:v>
                </c:pt>
                <c:pt idx="2">
                  <c:v>dyad_03_anno01</c:v>
                </c:pt>
                <c:pt idx="3">
                  <c:v>dyad_04_anno01</c:v>
                </c:pt>
                <c:pt idx="4">
                  <c:v>dyad_05_anno01</c:v>
                </c:pt>
                <c:pt idx="5">
                  <c:v>dyad_06_anno01</c:v>
                </c:pt>
                <c:pt idx="6">
                  <c:v>dyad_07_anno01</c:v>
                </c:pt>
                <c:pt idx="7">
                  <c:v>dyad_08_anno01</c:v>
                </c:pt>
                <c:pt idx="8">
                  <c:v>dyad_09_anno01</c:v>
                </c:pt>
                <c:pt idx="9">
                  <c:v>dyad_10_anno01</c:v>
                </c:pt>
                <c:pt idx="10">
                  <c:v>dyad_11_anno01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TE_discrete_.1!$B$11:$AY$11</c15:sqref>
                  </c15:fullRef>
                </c:ext>
              </c:extLst>
              <c:f>(TE_discrete_.1!$B$11,TE_discrete_.1!$D$11,TE_discrete_.1!$F$11,TE_discrete_.1!$H$11,TE_discrete_.1!$J$11,TE_discrete_.1!$L$11,TE_discrete_.1!$N$11,TE_discrete_.1!$P$11,TE_discrete_.1!$R$11,TE_discrete_.1!$T$11,TE_discrete_.1!$V$11)</c:f>
              <c:numCache>
                <c:formatCode>General</c:formatCode>
                <c:ptCount val="11"/>
                <c:pt idx="0">
                  <c:v>0.47732972122055201</c:v>
                </c:pt>
                <c:pt idx="1">
                  <c:v>8.5018330671824696E-2</c:v>
                </c:pt>
                <c:pt idx="2">
                  <c:v>0.39244768825961601</c:v>
                </c:pt>
                <c:pt idx="3">
                  <c:v>0.356273463409706</c:v>
                </c:pt>
                <c:pt idx="4">
                  <c:v>0.32970509200993198</c:v>
                </c:pt>
                <c:pt idx="5">
                  <c:v>0.91516805934693302</c:v>
                </c:pt>
                <c:pt idx="6">
                  <c:v>0.66825021161918896</c:v>
                </c:pt>
                <c:pt idx="7">
                  <c:v>0.28058240514784999</c:v>
                </c:pt>
                <c:pt idx="8">
                  <c:v>0.10046587785813101</c:v>
                </c:pt>
                <c:pt idx="9">
                  <c:v>3.6349083682932201E-2</c:v>
                </c:pt>
                <c:pt idx="10">
                  <c:v>0.45551850479601402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35-4D84-B8A4-475F0F65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6454368"/>
        <c:axId val="1856474528"/>
      </c:barChart>
      <c:catAx>
        <c:axId val="18564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74528"/>
        <c:crosses val="autoZero"/>
        <c:auto val="1"/>
        <c:lblAlgn val="ctr"/>
        <c:lblOffset val="100"/>
        <c:noMultiLvlLbl val="0"/>
      </c:catAx>
      <c:valAx>
        <c:axId val="18564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Dyads Anno Laura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TE_discrete_.1!$A$2</c:f>
              <c:strCache>
                <c:ptCount val="1"/>
                <c:pt idx="0">
                  <c:v>.0-.1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TE_discrete_.1!$B$2:$AY$2</c15:sqref>
                  </c15:fullRef>
                </c:ext>
              </c:extLst>
              <c:f>(TE_discrete_.1!$C$2,TE_discrete_.1!$E$2,TE_discrete_.1!$G$2,TE_discrete_.1!$I$2,TE_discrete_.1!$K$2,TE_discrete_.1!$M$2,TE_discrete_.1!$O$2,TE_discrete_.1!$Q$2,TE_discrete_.1!$S$2,TE_discrete_.1!$U$2,TE_discrete_.1!$W$2)</c:f>
              <c:numCache>
                <c:formatCode>General</c:formatCode>
                <c:ptCount val="11"/>
                <c:pt idx="0">
                  <c:v>0.25705185700426397</c:v>
                </c:pt>
                <c:pt idx="1">
                  <c:v>0.29767661546073998</c:v>
                </c:pt>
                <c:pt idx="2">
                  <c:v>2.4527001628868499E-2</c:v>
                </c:pt>
                <c:pt idx="3">
                  <c:v>0.19363310381980101</c:v>
                </c:pt>
                <c:pt idx="4">
                  <c:v>0.194054219531276</c:v>
                </c:pt>
                <c:pt idx="5">
                  <c:v>4.8240221717476897E-2</c:v>
                </c:pt>
                <c:pt idx="6">
                  <c:v>0.11942232280131899</c:v>
                </c:pt>
                <c:pt idx="7">
                  <c:v>0.19957464792572699</c:v>
                </c:pt>
                <c:pt idx="8">
                  <c:v>0.74265608857527099</c:v>
                </c:pt>
                <c:pt idx="9">
                  <c:v>0.31223780083903702</c:v>
                </c:pt>
                <c:pt idx="10">
                  <c:v>6.5868016961014297E-2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5-4FF1-96AD-D1724B55912F}"/>
            </c:ext>
          </c:extLst>
        </c:ser>
        <c:ser>
          <c:idx val="1"/>
          <c:order val="1"/>
          <c:tx>
            <c:strRef>
              <c:f>TE_discrete_.1!$A$3</c:f>
              <c:strCache>
                <c:ptCount val="1"/>
                <c:pt idx="0">
                  <c:v>.1-.2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TE_discrete_.1!$B$3:$AY$3</c15:sqref>
                  </c15:fullRef>
                </c:ext>
              </c:extLst>
              <c:f>(TE_discrete_.1!$C$3,TE_discrete_.1!$E$3,TE_discrete_.1!$G$3,TE_discrete_.1!$I$3,TE_discrete_.1!$K$3,TE_discrete_.1!$M$3,TE_discrete_.1!$O$3,TE_discrete_.1!$Q$3,TE_discrete_.1!$S$3,TE_discrete_.1!$U$3,TE_discrete_.1!$W$3)</c:f>
              <c:numCache>
                <c:formatCode>General</c:formatCode>
                <c:ptCount val="11"/>
                <c:pt idx="0">
                  <c:v>4.1038970547857399E-2</c:v>
                </c:pt>
                <c:pt idx="1">
                  <c:v>0.111176086907626</c:v>
                </c:pt>
                <c:pt idx="2">
                  <c:v>6.7566720962285401E-2</c:v>
                </c:pt>
                <c:pt idx="3">
                  <c:v>4.5201259238059899E-2</c:v>
                </c:pt>
                <c:pt idx="4">
                  <c:v>6.9917344127351205E-2</c:v>
                </c:pt>
                <c:pt idx="5">
                  <c:v>9.7939111046281405E-4</c:v>
                </c:pt>
                <c:pt idx="6">
                  <c:v>2.3355848463385499E-2</c:v>
                </c:pt>
                <c:pt idx="7">
                  <c:v>0.13724420934956499</c:v>
                </c:pt>
                <c:pt idx="8">
                  <c:v>0.15077678797684199</c:v>
                </c:pt>
                <c:pt idx="9">
                  <c:v>3.6266283947891297E-2</c:v>
                </c:pt>
                <c:pt idx="10">
                  <c:v>8.3034868881478693E-2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5-4FF1-96AD-D1724B55912F}"/>
            </c:ext>
          </c:extLst>
        </c:ser>
        <c:ser>
          <c:idx val="2"/>
          <c:order val="2"/>
          <c:tx>
            <c:strRef>
              <c:f>TE_discrete_.1!$A$4</c:f>
              <c:strCache>
                <c:ptCount val="1"/>
                <c:pt idx="0">
                  <c:v>.2-.3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TE_discrete_.1!$B$4:$AY$4</c15:sqref>
                  </c15:fullRef>
                </c:ext>
              </c:extLst>
              <c:f>(TE_discrete_.1!$C$4,TE_discrete_.1!$E$4,TE_discrete_.1!$G$4,TE_discrete_.1!$I$4,TE_discrete_.1!$K$4,TE_discrete_.1!$M$4,TE_discrete_.1!$O$4,TE_discrete_.1!$Q$4,TE_discrete_.1!$S$4,TE_discrete_.1!$U$4,TE_discrete_.1!$W$4)</c:f>
              <c:numCache>
                <c:formatCode>General</c:formatCode>
                <c:ptCount val="11"/>
                <c:pt idx="0">
                  <c:v>1.5925024253628801E-2</c:v>
                </c:pt>
                <c:pt idx="1">
                  <c:v>2.4448392973617301E-2</c:v>
                </c:pt>
                <c:pt idx="2">
                  <c:v>4.67829845883974E-2</c:v>
                </c:pt>
                <c:pt idx="3">
                  <c:v>3.94606151411592E-2</c:v>
                </c:pt>
                <c:pt idx="4">
                  <c:v>0.138593149426851</c:v>
                </c:pt>
                <c:pt idx="5">
                  <c:v>1.3753151763945899E-3</c:v>
                </c:pt>
                <c:pt idx="6">
                  <c:v>5.03740045260593E-2</c:v>
                </c:pt>
                <c:pt idx="7">
                  <c:v>0.30420853158102801</c:v>
                </c:pt>
                <c:pt idx="8">
                  <c:v>4.75039472914758E-2</c:v>
                </c:pt>
                <c:pt idx="9">
                  <c:v>8.1668138661956199E-2</c:v>
                </c:pt>
                <c:pt idx="10">
                  <c:v>0.442365485159112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5-4FF1-96AD-D1724B55912F}"/>
            </c:ext>
          </c:extLst>
        </c:ser>
        <c:ser>
          <c:idx val="3"/>
          <c:order val="3"/>
          <c:tx>
            <c:strRef>
              <c:f>TE_discrete_.1!$A$5</c:f>
              <c:strCache>
                <c:ptCount val="1"/>
                <c:pt idx="0">
                  <c:v>.3-.4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TE_discrete_.1!$B$5:$AY$5</c15:sqref>
                  </c15:fullRef>
                </c:ext>
              </c:extLst>
              <c:f>(TE_discrete_.1!$C$5,TE_discrete_.1!$E$5,TE_discrete_.1!$G$5,TE_discrete_.1!$I$5,TE_discrete_.1!$K$5,TE_discrete_.1!$M$5,TE_discrete_.1!$O$5,TE_discrete_.1!$Q$5,TE_discrete_.1!$S$5,TE_discrete_.1!$U$5,TE_discrete_.1!$W$5)</c:f>
              <c:numCache>
                <c:formatCode>General</c:formatCode>
                <c:ptCount val="11"/>
                <c:pt idx="0">
                  <c:v>4.4242280024162098E-2</c:v>
                </c:pt>
                <c:pt idx="1">
                  <c:v>2.8541868154112499E-2</c:v>
                </c:pt>
                <c:pt idx="2">
                  <c:v>0.114788247086831</c:v>
                </c:pt>
                <c:pt idx="3">
                  <c:v>6.2793555664046E-2</c:v>
                </c:pt>
                <c:pt idx="4">
                  <c:v>8.4900846967583904E-2</c:v>
                </c:pt>
                <c:pt idx="5">
                  <c:v>4.8261059826210102E-2</c:v>
                </c:pt>
                <c:pt idx="6">
                  <c:v>5.0892255601430299E-2</c:v>
                </c:pt>
                <c:pt idx="7">
                  <c:v>0.148027975078731</c:v>
                </c:pt>
                <c:pt idx="8">
                  <c:v>4.7757353657823399E-3</c:v>
                </c:pt>
                <c:pt idx="9">
                  <c:v>0.13027158313093301</c:v>
                </c:pt>
                <c:pt idx="10">
                  <c:v>0.12362603433370301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5-4FF1-96AD-D1724B55912F}"/>
            </c:ext>
          </c:extLst>
        </c:ser>
        <c:ser>
          <c:idx val="4"/>
          <c:order val="4"/>
          <c:tx>
            <c:strRef>
              <c:f>TE_discrete_.1!$A$6</c:f>
              <c:strCache>
                <c:ptCount val="1"/>
                <c:pt idx="0">
                  <c:v>.4-.5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TE_discrete_.1!$B$6:$AY$6</c15:sqref>
                  </c15:fullRef>
                </c:ext>
              </c:extLst>
              <c:f>(TE_discrete_.1!$C$6,TE_discrete_.1!$E$6,TE_discrete_.1!$G$6,TE_discrete_.1!$I$6,TE_discrete_.1!$K$6,TE_discrete_.1!$M$6,TE_discrete_.1!$O$6,TE_discrete_.1!$Q$6,TE_discrete_.1!$S$6,TE_discrete_.1!$U$6,TE_discrete_.1!$W$6)</c:f>
              <c:numCache>
                <c:formatCode>General</c:formatCode>
                <c:ptCount val="11"/>
                <c:pt idx="0">
                  <c:v>0.20678735516464999</c:v>
                </c:pt>
                <c:pt idx="1">
                  <c:v>0.19747644002608999</c:v>
                </c:pt>
                <c:pt idx="2">
                  <c:v>0.259835860167898</c:v>
                </c:pt>
                <c:pt idx="3">
                  <c:v>0.136159323917105</c:v>
                </c:pt>
                <c:pt idx="4">
                  <c:v>0.14541310928943099</c:v>
                </c:pt>
                <c:pt idx="5">
                  <c:v>7.4558753047573395E-2</c:v>
                </c:pt>
                <c:pt idx="6">
                  <c:v>0.17808834453331401</c:v>
                </c:pt>
                <c:pt idx="7">
                  <c:v>7.7585854316914504E-2</c:v>
                </c:pt>
                <c:pt idx="8">
                  <c:v>0</c:v>
                </c:pt>
                <c:pt idx="9">
                  <c:v>4.6367851622874802E-2</c:v>
                </c:pt>
                <c:pt idx="10">
                  <c:v>0.202153060804413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5-4FF1-96AD-D1724B55912F}"/>
            </c:ext>
          </c:extLst>
        </c:ser>
        <c:ser>
          <c:idx val="5"/>
          <c:order val="5"/>
          <c:tx>
            <c:strRef>
              <c:f>TE_discrete_.1!$A$7</c:f>
              <c:strCache>
                <c:ptCount val="1"/>
                <c:pt idx="0">
                  <c:v>.5-.6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TE_discrete_.1!$B$7:$AY$7</c15:sqref>
                  </c15:fullRef>
                </c:ext>
              </c:extLst>
              <c:f>(TE_discrete_.1!$C$7,TE_discrete_.1!$E$7,TE_discrete_.1!$G$7,TE_discrete_.1!$I$7,TE_discrete_.1!$K$7,TE_discrete_.1!$M$7,TE_discrete_.1!$O$7,TE_discrete_.1!$Q$7,TE_discrete_.1!$S$7,TE_discrete_.1!$U$7,TE_discrete_.1!$W$7)</c:f>
              <c:numCache>
                <c:formatCode>General</c:formatCode>
                <c:ptCount val="11"/>
                <c:pt idx="0">
                  <c:v>0.38410426314729701</c:v>
                </c:pt>
                <c:pt idx="1">
                  <c:v>0.241717460246058</c:v>
                </c:pt>
                <c:pt idx="2">
                  <c:v>0.38414672346823697</c:v>
                </c:pt>
                <c:pt idx="3">
                  <c:v>0.25501254187639899</c:v>
                </c:pt>
                <c:pt idx="4">
                  <c:v>0.17112826966903599</c:v>
                </c:pt>
                <c:pt idx="5">
                  <c:v>0.278855571068369</c:v>
                </c:pt>
                <c:pt idx="6">
                  <c:v>0.41646656416812</c:v>
                </c:pt>
                <c:pt idx="7">
                  <c:v>4.3039631361535602E-2</c:v>
                </c:pt>
                <c:pt idx="8">
                  <c:v>0</c:v>
                </c:pt>
                <c:pt idx="9">
                  <c:v>9.9939280194303301E-2</c:v>
                </c:pt>
                <c:pt idx="10">
                  <c:v>7.1425630892099898E-2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5-4FF1-96AD-D1724B55912F}"/>
            </c:ext>
          </c:extLst>
        </c:ser>
        <c:ser>
          <c:idx val="6"/>
          <c:order val="6"/>
          <c:tx>
            <c:strRef>
              <c:f>TE_discrete_.1!$A$8</c:f>
              <c:strCache>
                <c:ptCount val="1"/>
                <c:pt idx="0">
                  <c:v>.6-.7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TE_discrete_.1!$B$8:$AY$8</c15:sqref>
                  </c15:fullRef>
                </c:ext>
              </c:extLst>
              <c:f>(TE_discrete_.1!$C$8,TE_discrete_.1!$E$8,TE_discrete_.1!$G$8,TE_discrete_.1!$I$8,TE_discrete_.1!$K$8,TE_discrete_.1!$M$8,TE_discrete_.1!$O$8,TE_discrete_.1!$Q$8,TE_discrete_.1!$S$8,TE_discrete_.1!$U$8,TE_discrete_.1!$W$8)</c:f>
              <c:numCache>
                <c:formatCode>General</c:formatCode>
                <c:ptCount val="11"/>
                <c:pt idx="0">
                  <c:v>4.2869433105745799E-2</c:v>
                </c:pt>
                <c:pt idx="1">
                  <c:v>0</c:v>
                </c:pt>
                <c:pt idx="2">
                  <c:v>0.102321137702042</c:v>
                </c:pt>
                <c:pt idx="3">
                  <c:v>0.173465093180249</c:v>
                </c:pt>
                <c:pt idx="4">
                  <c:v>5.9151671825572301E-2</c:v>
                </c:pt>
                <c:pt idx="5">
                  <c:v>0.22203004855279301</c:v>
                </c:pt>
                <c:pt idx="6">
                  <c:v>0.113548810613782</c:v>
                </c:pt>
                <c:pt idx="7">
                  <c:v>4.3380458344126099E-2</c:v>
                </c:pt>
                <c:pt idx="8">
                  <c:v>0</c:v>
                </c:pt>
                <c:pt idx="9">
                  <c:v>0</c:v>
                </c:pt>
                <c:pt idx="10" formatCode="0.00E+00">
                  <c:v>4.1167510600633898E-5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5-4FF1-96AD-D1724B55912F}"/>
            </c:ext>
          </c:extLst>
        </c:ser>
        <c:ser>
          <c:idx val="7"/>
          <c:order val="7"/>
          <c:tx>
            <c:strRef>
              <c:f>TE_discrete_.1!$A$9</c:f>
              <c:strCache>
                <c:ptCount val="1"/>
                <c:pt idx="0">
                  <c:v>.7-.8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TE_discrete_.1!$B$9:$AY$9</c15:sqref>
                  </c15:fullRef>
                </c:ext>
              </c:extLst>
              <c:f>(TE_discrete_.1!$C$9,TE_discrete_.1!$E$9,TE_discrete_.1!$G$9,TE_discrete_.1!$I$9,TE_discrete_.1!$K$9,TE_discrete_.1!$M$9,TE_discrete_.1!$O$9,TE_discrete_.1!$Q$9,TE_discrete_.1!$S$9,TE_discrete_.1!$U$9,TE_discrete_.1!$W$9)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9.4274507163179005E-2</c:v>
                </c:pt>
                <c:pt idx="4">
                  <c:v>0.118813565087247</c:v>
                </c:pt>
                <c:pt idx="5">
                  <c:v>0.30186084310987898</c:v>
                </c:pt>
                <c:pt idx="6">
                  <c:v>3.9162506262200497E-2</c:v>
                </c:pt>
                <c:pt idx="7">
                  <c:v>1.39875393655164E-2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5-4FF1-96AD-D1724B55912F}"/>
            </c:ext>
          </c:extLst>
        </c:ser>
        <c:ser>
          <c:idx val="8"/>
          <c:order val="8"/>
          <c:tx>
            <c:strRef>
              <c:f>TE_discrete_.1!$A$10</c:f>
              <c:strCache>
                <c:ptCount val="1"/>
                <c:pt idx="0">
                  <c:v>.8-.9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TE_discrete_.1!$B$10:$AY$10</c15:sqref>
                  </c15:fullRef>
                </c:ext>
              </c:extLst>
              <c:f>(TE_discrete_.1!$C$10,TE_discrete_.1!$E$10,TE_discrete_.1!$G$10,TE_discrete_.1!$I$10,TE_discrete_.1!$K$10,TE_discrete_.1!$M$10,TE_discrete_.1!$O$10,TE_discrete_.1!$Q$10,TE_discrete_.1!$S$10,TE_discrete_.1!$U$10,TE_discrete_.1!$W$10)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1.08677165889996E-2</c:v>
                </c:pt>
                <c:pt idx="5">
                  <c:v>2.3547062868574001E-2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5-4FF1-96AD-D1724B55912F}"/>
            </c:ext>
          </c:extLst>
        </c:ser>
        <c:ser>
          <c:idx val="9"/>
          <c:order val="9"/>
          <c:tx>
            <c:strRef>
              <c:f>TE_discrete_.1!$A$11</c:f>
              <c:strCache>
                <c:ptCount val="1"/>
                <c:pt idx="0">
                  <c:v>.9-1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TE_discrete_.1!$B$1:$AY$1</c15:sqref>
                  </c15:fullRef>
                </c:ext>
              </c:extLst>
              <c:f>(TE_discrete_.1!$C$1,TE_discrete_.1!$E$1,TE_discrete_.1!$G$1,TE_discrete_.1!$I$1,TE_discrete_.1!$K$1,TE_discrete_.1!$M$1,TE_discrete_.1!$O$1,TE_discrete_.1!$Q$1,TE_discrete_.1!$S$1,TE_discrete_.1!$U$1,TE_discrete_.1!$W$1)</c:f>
              <c:strCache>
                <c:ptCount val="11"/>
                <c:pt idx="0">
                  <c:v>dyad_01_anno02</c:v>
                </c:pt>
                <c:pt idx="1">
                  <c:v>dyad_02_anno02</c:v>
                </c:pt>
                <c:pt idx="2">
                  <c:v>dyad_03_anno02</c:v>
                </c:pt>
                <c:pt idx="3">
                  <c:v>dyad_04_anno02</c:v>
                </c:pt>
                <c:pt idx="4">
                  <c:v>dyad_05_anno02</c:v>
                </c:pt>
                <c:pt idx="5">
                  <c:v>dyad_06_anno02</c:v>
                </c:pt>
                <c:pt idx="6">
                  <c:v>dyad_07_anno02</c:v>
                </c:pt>
                <c:pt idx="7">
                  <c:v>dyad_08_anno02</c:v>
                </c:pt>
                <c:pt idx="8">
                  <c:v>dyad_09_anno02</c:v>
                </c:pt>
                <c:pt idx="9">
                  <c:v>dyad_10_anno02</c:v>
                </c:pt>
                <c:pt idx="10">
                  <c:v>dyad_11_anno02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TE_discrete_.1!$B$11:$AY$11</c15:sqref>
                  </c15:fullRef>
                </c:ext>
              </c:extLst>
              <c:f>(TE_discrete_.1!$C$11,TE_discrete_.1!$E$11,TE_discrete_.1!$G$11,TE_discrete_.1!$I$11,TE_discrete_.1!$K$11,TE_discrete_.1!$M$11,TE_discrete_.1!$O$11,TE_discrete_.1!$Q$11,TE_discrete_.1!$S$11,TE_discrete_.1!$U$11,TE_discrete_.1!$W$11)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B5-4FF1-96AD-D1724B55912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6454368"/>
        <c:axId val="1856474528"/>
      </c:barChart>
      <c:catAx>
        <c:axId val="18564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74528"/>
        <c:crosses val="autoZero"/>
        <c:auto val="1"/>
        <c:lblAlgn val="ctr"/>
        <c:lblOffset val="100"/>
        <c:noMultiLvlLbl val="0"/>
      </c:catAx>
      <c:valAx>
        <c:axId val="18564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Helen Ann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TE_discrete_twobinsV1!$A$2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TE_discrete_twobinsV1!$B$1:$AY$1</c15:sqref>
                  </c15:fullRef>
                </c:ext>
              </c:extLst>
              <c:f>(TE_discrete_twobinsV1!$D$1,TE_discrete_twobinsV1!$F$1,TE_discrete_twobinsV1!$H$1,TE_discrete_twobinsV1!$J$1,TE_discrete_twobinsV1!$L$1,TE_discrete_twobinsV1!$N$1,TE_discrete_twobinsV1!$T$1,TE_discrete_twobinsV1!$V$1,TE_discrete_twobinsV1!$X$1,TE_discrete_twobinsV1!$Z$1,TE_discrete_twobinsV1!$AF$1,TE_discrete_twobinsV1!$AH$1,TE_discrete_twobinsV1!$AJ$1,TE_discrete_twobinsV1!$AL$1,TE_discrete_twobinsV1!$AN$1,TE_discrete_twobinsV1!$AP$1,TE_discrete_twobinsV1!$AR$1,TE_discrete_twobinsV1!$AT$1,TE_discrete_twobinsV1!$AV$1,TE_discrete_twobinsV1!$AX$1)</c:f>
              <c:strCache>
                <c:ptCount val="20"/>
                <c:pt idx="0">
                  <c:v>dyad_02_anno01</c:v>
                </c:pt>
                <c:pt idx="1">
                  <c:v>dyad_03_anno01</c:v>
                </c:pt>
                <c:pt idx="2">
                  <c:v>dyad_04_anno01</c:v>
                </c:pt>
                <c:pt idx="3">
                  <c:v>dyad_05_anno01</c:v>
                </c:pt>
                <c:pt idx="4">
                  <c:v>dyad_06_anno01</c:v>
                </c:pt>
                <c:pt idx="5">
                  <c:v>dyad_07_anno01</c:v>
                </c:pt>
                <c:pt idx="6">
                  <c:v>dyad_10_anno01</c:v>
                </c:pt>
                <c:pt idx="7">
                  <c:v>dyad_11_anno01</c:v>
                </c:pt>
                <c:pt idx="8">
                  <c:v>triad_01_anno01</c:v>
                </c:pt>
                <c:pt idx="9">
                  <c:v>triad_02_anno01</c:v>
                </c:pt>
                <c:pt idx="10">
                  <c:v>triad_05_anno01</c:v>
                </c:pt>
                <c:pt idx="11">
                  <c:v>triad_06_anno01</c:v>
                </c:pt>
                <c:pt idx="12">
                  <c:v>triad_07_anno01</c:v>
                </c:pt>
                <c:pt idx="13">
                  <c:v>triad_08_anno01</c:v>
                </c:pt>
                <c:pt idx="14">
                  <c:v>triad_09_anno01</c:v>
                </c:pt>
                <c:pt idx="15">
                  <c:v>triad_10_anno01</c:v>
                </c:pt>
                <c:pt idx="16">
                  <c:v>triad_11_anno01</c:v>
                </c:pt>
                <c:pt idx="17">
                  <c:v>triad_12_anno01</c:v>
                </c:pt>
                <c:pt idx="18">
                  <c:v>triad_13_anno01</c:v>
                </c:pt>
                <c:pt idx="19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TE_discrete_twobinsV1!$B$2:$AY$2</c15:sqref>
                  </c15:fullRef>
                </c:ext>
              </c:extLst>
              <c:f>(TE_discrete_twobinsV1!$D$2,TE_discrete_twobinsV1!$F$2,TE_discrete_twobinsV1!$H$2,TE_discrete_twobinsV1!$J$2,TE_discrete_twobinsV1!$L$2,TE_discrete_twobinsV1!$N$2,TE_discrete_twobinsV1!$T$2,TE_discrete_twobinsV1!$V$2,TE_discrete_twobinsV1!$X$2,TE_discrete_twobinsV1!$Z$2,TE_discrete_twobinsV1!$AF$2,TE_discrete_twobinsV1!$AH$2,TE_discrete_twobinsV1!$AJ$2,TE_discrete_twobinsV1!$AL$2,TE_discrete_twobinsV1!$AN$2,TE_discrete_twobinsV1!$AP$2,TE_discrete_twobinsV1!$AR$2,TE_discrete_twobinsV1!$AT$2,TE_discrete_twobinsV1!$AV$2,TE_discrete_twobinsV1!$AX$2)</c:f>
              <c:numCache>
                <c:formatCode>General</c:formatCode>
                <c:ptCount val="20"/>
                <c:pt idx="0">
                  <c:v>0.47961134477407102</c:v>
                </c:pt>
                <c:pt idx="1">
                  <c:v>0.74818318506452797</c:v>
                </c:pt>
                <c:pt idx="2">
                  <c:v>0.66684062557869395</c:v>
                </c:pt>
                <c:pt idx="3">
                  <c:v>0.43899452362325198</c:v>
                </c:pt>
                <c:pt idx="4">
                  <c:v>0.92854612515368096</c:v>
                </c:pt>
                <c:pt idx="5">
                  <c:v>0.695354742861091</c:v>
                </c:pt>
                <c:pt idx="6">
                  <c:v>0.116140428350629</c:v>
                </c:pt>
                <c:pt idx="7">
                  <c:v>0.60213659380017204</c:v>
                </c:pt>
                <c:pt idx="8">
                  <c:v>0.43328185212397402</c:v>
                </c:pt>
                <c:pt idx="9">
                  <c:v>0.79845533254624101</c:v>
                </c:pt>
                <c:pt idx="10">
                  <c:v>0.63778406624884898</c:v>
                </c:pt>
                <c:pt idx="11">
                  <c:v>0.71398762283533301</c:v>
                </c:pt>
                <c:pt idx="12">
                  <c:v>0.35741104952619301</c:v>
                </c:pt>
                <c:pt idx="13">
                  <c:v>6.3156048068769899E-2</c:v>
                </c:pt>
                <c:pt idx="14">
                  <c:v>0.69235877004801305</c:v>
                </c:pt>
                <c:pt idx="15">
                  <c:v>0.32977909011373502</c:v>
                </c:pt>
                <c:pt idx="16">
                  <c:v>0.21420744199342501</c:v>
                </c:pt>
                <c:pt idx="17">
                  <c:v>0.72785443888142598</c:v>
                </c:pt>
                <c:pt idx="18">
                  <c:v>0.69873102402570397</c:v>
                </c:pt>
                <c:pt idx="19">
                  <c:v>0.55135905721345702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B-4F5E-BAC3-912E0FB8E4E3}"/>
            </c:ext>
          </c:extLst>
        </c:ser>
        <c:ser>
          <c:idx val="1"/>
          <c:order val="1"/>
          <c:tx>
            <c:strRef>
              <c:f>TE_discrete_twobinsV1!$A$3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TE_discrete_twobinsV1!$B$1:$AY$1</c15:sqref>
                  </c15:fullRef>
                </c:ext>
              </c:extLst>
              <c:f>(TE_discrete_twobinsV1!$D$1,TE_discrete_twobinsV1!$F$1,TE_discrete_twobinsV1!$H$1,TE_discrete_twobinsV1!$J$1,TE_discrete_twobinsV1!$L$1,TE_discrete_twobinsV1!$N$1,TE_discrete_twobinsV1!$T$1,TE_discrete_twobinsV1!$V$1,TE_discrete_twobinsV1!$X$1,TE_discrete_twobinsV1!$Z$1,TE_discrete_twobinsV1!$AF$1,TE_discrete_twobinsV1!$AH$1,TE_discrete_twobinsV1!$AJ$1,TE_discrete_twobinsV1!$AL$1,TE_discrete_twobinsV1!$AN$1,TE_discrete_twobinsV1!$AP$1,TE_discrete_twobinsV1!$AR$1,TE_discrete_twobinsV1!$AT$1,TE_discrete_twobinsV1!$AV$1,TE_discrete_twobinsV1!$AX$1)</c:f>
              <c:strCache>
                <c:ptCount val="20"/>
                <c:pt idx="0">
                  <c:v>dyad_02_anno01</c:v>
                </c:pt>
                <c:pt idx="1">
                  <c:v>dyad_03_anno01</c:v>
                </c:pt>
                <c:pt idx="2">
                  <c:v>dyad_04_anno01</c:v>
                </c:pt>
                <c:pt idx="3">
                  <c:v>dyad_05_anno01</c:v>
                </c:pt>
                <c:pt idx="4">
                  <c:v>dyad_06_anno01</c:v>
                </c:pt>
                <c:pt idx="5">
                  <c:v>dyad_07_anno01</c:v>
                </c:pt>
                <c:pt idx="6">
                  <c:v>dyad_10_anno01</c:v>
                </c:pt>
                <c:pt idx="7">
                  <c:v>dyad_11_anno01</c:v>
                </c:pt>
                <c:pt idx="8">
                  <c:v>triad_01_anno01</c:v>
                </c:pt>
                <c:pt idx="9">
                  <c:v>triad_02_anno01</c:v>
                </c:pt>
                <c:pt idx="10">
                  <c:v>triad_05_anno01</c:v>
                </c:pt>
                <c:pt idx="11">
                  <c:v>triad_06_anno01</c:v>
                </c:pt>
                <c:pt idx="12">
                  <c:v>triad_07_anno01</c:v>
                </c:pt>
                <c:pt idx="13">
                  <c:v>triad_08_anno01</c:v>
                </c:pt>
                <c:pt idx="14">
                  <c:v>triad_09_anno01</c:v>
                </c:pt>
                <c:pt idx="15">
                  <c:v>triad_10_anno01</c:v>
                </c:pt>
                <c:pt idx="16">
                  <c:v>triad_11_anno01</c:v>
                </c:pt>
                <c:pt idx="17">
                  <c:v>triad_12_anno01</c:v>
                </c:pt>
                <c:pt idx="18">
                  <c:v>triad_13_anno01</c:v>
                </c:pt>
                <c:pt idx="19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TE_discrete_twobinsV1!$B$3:$AY$3</c15:sqref>
                  </c15:fullRef>
                </c:ext>
              </c:extLst>
              <c:f>(TE_discrete_twobinsV1!$D$3,TE_discrete_twobinsV1!$F$3,TE_discrete_twobinsV1!$H$3,TE_discrete_twobinsV1!$J$3,TE_discrete_twobinsV1!$L$3,TE_discrete_twobinsV1!$N$3,TE_discrete_twobinsV1!$T$3,TE_discrete_twobinsV1!$V$3,TE_discrete_twobinsV1!$X$3,TE_discrete_twobinsV1!$Z$3,TE_discrete_twobinsV1!$AF$3,TE_discrete_twobinsV1!$AH$3,TE_discrete_twobinsV1!$AJ$3,TE_discrete_twobinsV1!$AL$3,TE_discrete_twobinsV1!$AN$3,TE_discrete_twobinsV1!$AP$3,TE_discrete_twobinsV1!$AR$3,TE_discrete_twobinsV1!$AT$3,TE_discrete_twobinsV1!$AV$3,TE_discrete_twobinsV1!$AX$3)</c:f>
              <c:numCache>
                <c:formatCode>General</c:formatCode>
                <c:ptCount val="20"/>
                <c:pt idx="0">
                  <c:v>0.14992915139110599</c:v>
                </c:pt>
                <c:pt idx="1">
                  <c:v>0.143731988472622</c:v>
                </c:pt>
                <c:pt idx="2">
                  <c:v>0.13700106058820499</c:v>
                </c:pt>
                <c:pt idx="3">
                  <c:v>0.30067349229565599</c:v>
                </c:pt>
                <c:pt idx="4">
                  <c:v>1.1044197628623201E-2</c:v>
                </c:pt>
                <c:pt idx="5">
                  <c:v>0.110888455093544</c:v>
                </c:pt>
                <c:pt idx="6">
                  <c:v>0.22885846765290299</c:v>
                </c:pt>
                <c:pt idx="7">
                  <c:v>0.34173150549586201</c:v>
                </c:pt>
                <c:pt idx="8">
                  <c:v>0.132581607713184</c:v>
                </c:pt>
                <c:pt idx="9">
                  <c:v>4.01908697363242E-2</c:v>
                </c:pt>
                <c:pt idx="10">
                  <c:v>0.28904012083123498</c:v>
                </c:pt>
                <c:pt idx="11">
                  <c:v>0.20964491448342201</c:v>
                </c:pt>
                <c:pt idx="12">
                  <c:v>0.218027636586549</c:v>
                </c:pt>
                <c:pt idx="13">
                  <c:v>0.15169147100961899</c:v>
                </c:pt>
                <c:pt idx="14">
                  <c:v>0.22900704872816399</c:v>
                </c:pt>
                <c:pt idx="15">
                  <c:v>0.33970363079615001</c:v>
                </c:pt>
                <c:pt idx="16">
                  <c:v>0.71232550383534199</c:v>
                </c:pt>
                <c:pt idx="17">
                  <c:v>0.20410306508731199</c:v>
                </c:pt>
                <c:pt idx="18">
                  <c:v>0.26164732215382902</c:v>
                </c:pt>
                <c:pt idx="19">
                  <c:v>0.36618513590572099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B-4F5E-BAC3-912E0FB8E4E3}"/>
            </c:ext>
          </c:extLst>
        </c:ser>
        <c:ser>
          <c:idx val="2"/>
          <c:order val="2"/>
          <c:tx>
            <c:strRef>
              <c:f>TE_discrete_twobinsV1!$A$4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TE_discrete_twobinsV1!$B$1:$AY$1</c15:sqref>
                  </c15:fullRef>
                </c:ext>
              </c:extLst>
              <c:f>(TE_discrete_twobinsV1!$D$1,TE_discrete_twobinsV1!$F$1,TE_discrete_twobinsV1!$H$1,TE_discrete_twobinsV1!$J$1,TE_discrete_twobinsV1!$L$1,TE_discrete_twobinsV1!$N$1,TE_discrete_twobinsV1!$T$1,TE_discrete_twobinsV1!$V$1,TE_discrete_twobinsV1!$X$1,TE_discrete_twobinsV1!$Z$1,TE_discrete_twobinsV1!$AF$1,TE_discrete_twobinsV1!$AH$1,TE_discrete_twobinsV1!$AJ$1,TE_discrete_twobinsV1!$AL$1,TE_discrete_twobinsV1!$AN$1,TE_discrete_twobinsV1!$AP$1,TE_discrete_twobinsV1!$AR$1,TE_discrete_twobinsV1!$AT$1,TE_discrete_twobinsV1!$AV$1,TE_discrete_twobinsV1!$AX$1)</c:f>
              <c:strCache>
                <c:ptCount val="20"/>
                <c:pt idx="0">
                  <c:v>dyad_02_anno01</c:v>
                </c:pt>
                <c:pt idx="1">
                  <c:v>dyad_03_anno01</c:v>
                </c:pt>
                <c:pt idx="2">
                  <c:v>dyad_04_anno01</c:v>
                </c:pt>
                <c:pt idx="3">
                  <c:v>dyad_05_anno01</c:v>
                </c:pt>
                <c:pt idx="4">
                  <c:v>dyad_06_anno01</c:v>
                </c:pt>
                <c:pt idx="5">
                  <c:v>dyad_07_anno01</c:v>
                </c:pt>
                <c:pt idx="6">
                  <c:v>dyad_10_anno01</c:v>
                </c:pt>
                <c:pt idx="7">
                  <c:v>dyad_11_anno01</c:v>
                </c:pt>
                <c:pt idx="8">
                  <c:v>triad_01_anno01</c:v>
                </c:pt>
                <c:pt idx="9">
                  <c:v>triad_02_anno01</c:v>
                </c:pt>
                <c:pt idx="10">
                  <c:v>triad_05_anno01</c:v>
                </c:pt>
                <c:pt idx="11">
                  <c:v>triad_06_anno01</c:v>
                </c:pt>
                <c:pt idx="12">
                  <c:v>triad_07_anno01</c:v>
                </c:pt>
                <c:pt idx="13">
                  <c:v>triad_08_anno01</c:v>
                </c:pt>
                <c:pt idx="14">
                  <c:v>triad_09_anno01</c:v>
                </c:pt>
                <c:pt idx="15">
                  <c:v>triad_10_anno01</c:v>
                </c:pt>
                <c:pt idx="16">
                  <c:v>triad_11_anno01</c:v>
                </c:pt>
                <c:pt idx="17">
                  <c:v>triad_12_anno01</c:v>
                </c:pt>
                <c:pt idx="18">
                  <c:v>triad_13_anno01</c:v>
                </c:pt>
                <c:pt idx="19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TE_discrete_twobinsV1!$B$4:$AY$4</c15:sqref>
                  </c15:fullRef>
                </c:ext>
              </c:extLst>
              <c:f>(TE_discrete_twobinsV1!$D$4,TE_discrete_twobinsV1!$F$4,TE_discrete_twobinsV1!$H$4,TE_discrete_twobinsV1!$J$4,TE_discrete_twobinsV1!$L$4,TE_discrete_twobinsV1!$N$4,TE_discrete_twobinsV1!$T$4,TE_discrete_twobinsV1!$V$4,TE_discrete_twobinsV1!$X$4,TE_discrete_twobinsV1!$Z$4,TE_discrete_twobinsV1!$AF$4,TE_discrete_twobinsV1!$AH$4,TE_discrete_twobinsV1!$AJ$4,TE_discrete_twobinsV1!$AL$4,TE_discrete_twobinsV1!$AN$4,TE_discrete_twobinsV1!$AP$4,TE_discrete_twobinsV1!$AR$4,TE_discrete_twobinsV1!$AT$4,TE_discrete_twobinsV1!$AV$4,TE_discrete_twobinsV1!$AX$4)</c:f>
              <c:numCache>
                <c:formatCode>General</c:formatCode>
                <c:ptCount val="20"/>
                <c:pt idx="0">
                  <c:v>0.37045950383482101</c:v>
                </c:pt>
                <c:pt idx="1">
                  <c:v>0.108069164265129</c:v>
                </c:pt>
                <c:pt idx="2">
                  <c:v>0.19615831383310001</c:v>
                </c:pt>
                <c:pt idx="3">
                  <c:v>0.25801898023742298</c:v>
                </c:pt>
                <c:pt idx="4">
                  <c:v>6.0388839108962401E-2</c:v>
                </c:pt>
                <c:pt idx="5">
                  <c:v>0.19373952700951799</c:v>
                </c:pt>
                <c:pt idx="6">
                  <c:v>0.65381430779421501</c:v>
                </c:pt>
                <c:pt idx="7">
                  <c:v>5.6131900703964399E-2</c:v>
                </c:pt>
                <c:pt idx="8">
                  <c:v>0.42654930950203102</c:v>
                </c:pt>
                <c:pt idx="9">
                  <c:v>0.16135379771743399</c:v>
                </c:pt>
                <c:pt idx="10">
                  <c:v>7.3175812919914499E-2</c:v>
                </c:pt>
                <c:pt idx="11">
                  <c:v>7.6367462681243406E-2</c:v>
                </c:pt>
                <c:pt idx="12">
                  <c:v>0.42456131388725699</c:v>
                </c:pt>
                <c:pt idx="13">
                  <c:v>0.78515248092161005</c:v>
                </c:pt>
                <c:pt idx="14">
                  <c:v>7.8608642353662203E-2</c:v>
                </c:pt>
                <c:pt idx="15">
                  <c:v>0.33051727909011303</c:v>
                </c:pt>
                <c:pt idx="16">
                  <c:v>7.3467054171232504E-2</c:v>
                </c:pt>
                <c:pt idx="17">
                  <c:v>6.8042496031261404E-2</c:v>
                </c:pt>
                <c:pt idx="18">
                  <c:v>3.9621653820466E-2</c:v>
                </c:pt>
                <c:pt idx="19">
                  <c:v>8.2455806880821103E-2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AB-4F5E-BAC3-912E0FB8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3489136"/>
        <c:axId val="1983488656"/>
      </c:barChart>
      <c:catAx>
        <c:axId val="198348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88656"/>
        <c:crosses val="autoZero"/>
        <c:auto val="1"/>
        <c:lblAlgn val="ctr"/>
        <c:lblOffset val="100"/>
        <c:noMultiLvlLbl val="0"/>
      </c:catAx>
      <c:valAx>
        <c:axId val="19834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8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Laura</a:t>
            </a:r>
            <a:r>
              <a:rPr lang="en-GB" baseline="0"/>
              <a:t> Ann (.25, .5, 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TE_discrete_twobinsV1!$A$2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TE_discrete_twobinsV1!$B$1:$AY$1</c15:sqref>
                  </c15:fullRef>
                </c:ext>
              </c:extLst>
              <c:f>(TE_discrete_twobinsV1!$E$1,TE_discrete_twobinsV1!$G$1,TE_discrete_twobinsV1!$I$1,TE_discrete_twobinsV1!$K$1,TE_discrete_twobinsV1!$M$1,TE_discrete_twobinsV1!$O$1,TE_discrete_twobinsV1!$U$1,TE_discrete_twobinsV1!$W$1,TE_discrete_twobinsV1!$Y$1,TE_discrete_twobinsV1!$AA$1,TE_discrete_twobinsV1!$AG$1,TE_discrete_twobinsV1!$AI$1,TE_discrete_twobinsV1!$AK$1,TE_discrete_twobinsV1!$AM$1,TE_discrete_twobinsV1!$AO$1,TE_discrete_twobinsV1!$AQ$1,TE_discrete_twobinsV1!$AS$1,TE_discrete_twobinsV1!$AU$1,TE_discrete_twobinsV1!$AW$1,TE_discrete_twobinsV1!$AY$1)</c:f>
              <c:strCache>
                <c:ptCount val="20"/>
                <c:pt idx="0">
                  <c:v>dyad_02_anno02</c:v>
                </c:pt>
                <c:pt idx="1">
                  <c:v>dyad_03_anno02</c:v>
                </c:pt>
                <c:pt idx="2">
                  <c:v>dyad_04_anno02</c:v>
                </c:pt>
                <c:pt idx="3">
                  <c:v>dyad_05_anno02</c:v>
                </c:pt>
                <c:pt idx="4">
                  <c:v>dyad_06_anno02</c:v>
                </c:pt>
                <c:pt idx="5">
                  <c:v>dyad_07_anno02</c:v>
                </c:pt>
                <c:pt idx="6">
                  <c:v>dyad_10_anno02</c:v>
                </c:pt>
                <c:pt idx="7">
                  <c:v>dyad_11_anno02</c:v>
                </c:pt>
                <c:pt idx="8">
                  <c:v>triad_01_anno02</c:v>
                </c:pt>
                <c:pt idx="9">
                  <c:v>triad_02_anno02</c:v>
                </c:pt>
                <c:pt idx="10">
                  <c:v>triad_05_anno02</c:v>
                </c:pt>
                <c:pt idx="11">
                  <c:v>triad_06_anno02</c:v>
                </c:pt>
                <c:pt idx="12">
                  <c:v>triad_07_anno02</c:v>
                </c:pt>
                <c:pt idx="13">
                  <c:v>triad_08_anno02</c:v>
                </c:pt>
                <c:pt idx="14">
                  <c:v>triad_09_anno02</c:v>
                </c:pt>
                <c:pt idx="15">
                  <c:v>triad_10_anno02</c:v>
                </c:pt>
                <c:pt idx="16">
                  <c:v>triad_11_anno02</c:v>
                </c:pt>
                <c:pt idx="17">
                  <c:v>triad_12_anno02</c:v>
                </c:pt>
                <c:pt idx="18">
                  <c:v>triad_13_anno02</c:v>
                </c:pt>
                <c:pt idx="19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TE_discrete_twobinsV1!$B$2:$AY$2</c15:sqref>
                  </c15:fullRef>
                </c:ext>
              </c:extLst>
              <c:f>(TE_discrete_twobinsV1!$E$2,TE_discrete_twobinsV1!$G$2,TE_discrete_twobinsV1!$I$2,TE_discrete_twobinsV1!$K$2,TE_discrete_twobinsV1!$M$2,TE_discrete_twobinsV1!$O$2,TE_discrete_twobinsV1!$U$2,TE_discrete_twobinsV1!$W$2,TE_discrete_twobinsV1!$Y$2,TE_discrete_twobinsV1!$AA$2,TE_discrete_twobinsV1!$AG$2,TE_discrete_twobinsV1!$AI$2,TE_discrete_twobinsV1!$AK$2,TE_discrete_twobinsV1!$AM$2,TE_discrete_twobinsV1!$AO$2,TE_discrete_twobinsV1!$AQ$2,TE_discrete_twobinsV1!$AS$2,TE_discrete_twobinsV1!$AU$2,TE_discrete_twobinsV1!$AW$2,TE_discrete_twobinsV1!$AY$2)</c:f>
              <c:numCache>
                <c:formatCode>General</c:formatCode>
                <c:ptCount val="20"/>
                <c:pt idx="0">
                  <c:v>0.241717460246058</c:v>
                </c:pt>
                <c:pt idx="1">
                  <c:v>0.48646786117027901</c:v>
                </c:pt>
                <c:pt idx="2">
                  <c:v>0.52275214221982702</c:v>
                </c:pt>
                <c:pt idx="3">
                  <c:v>0.35996122317085599</c:v>
                </c:pt>
                <c:pt idx="4">
                  <c:v>0.826293525599616</c:v>
                </c:pt>
                <c:pt idx="5">
                  <c:v>0.56917788104410305</c:v>
                </c:pt>
                <c:pt idx="6">
                  <c:v>9.9939280194303301E-2</c:v>
                </c:pt>
                <c:pt idx="7">
                  <c:v>7.1466798402700593E-2</c:v>
                </c:pt>
                <c:pt idx="8">
                  <c:v>0.212697365461606</c:v>
                </c:pt>
                <c:pt idx="9">
                  <c:v>0.60706906729634003</c:v>
                </c:pt>
                <c:pt idx="10">
                  <c:v>2.68918942379472E-2</c:v>
                </c:pt>
                <c:pt idx="11">
                  <c:v>0.28492447076028599</c:v>
                </c:pt>
                <c:pt idx="12">
                  <c:v>7.0496283619830902E-2</c:v>
                </c:pt>
                <c:pt idx="13">
                  <c:v>0</c:v>
                </c:pt>
                <c:pt idx="14">
                  <c:v>0.50807028297068102</c:v>
                </c:pt>
                <c:pt idx="15">
                  <c:v>2.6438101487314E-2</c:v>
                </c:pt>
                <c:pt idx="16">
                  <c:v>0</c:v>
                </c:pt>
                <c:pt idx="17">
                  <c:v>0.12382464281353001</c:v>
                </c:pt>
                <c:pt idx="18">
                  <c:v>0.14697016191628001</c:v>
                </c:pt>
                <c:pt idx="19">
                  <c:v>0.21199391750617699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B-4A5C-B8EA-04111DA8B0FC}"/>
            </c:ext>
          </c:extLst>
        </c:ser>
        <c:ser>
          <c:idx val="1"/>
          <c:order val="1"/>
          <c:tx>
            <c:strRef>
              <c:f>TE_discrete_twobinsV1!$A$3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TE_discrete_twobinsV1!$B$1:$AY$1</c15:sqref>
                  </c15:fullRef>
                </c:ext>
              </c:extLst>
              <c:f>(TE_discrete_twobinsV1!$E$1,TE_discrete_twobinsV1!$G$1,TE_discrete_twobinsV1!$I$1,TE_discrete_twobinsV1!$K$1,TE_discrete_twobinsV1!$M$1,TE_discrete_twobinsV1!$O$1,TE_discrete_twobinsV1!$U$1,TE_discrete_twobinsV1!$W$1,TE_discrete_twobinsV1!$Y$1,TE_discrete_twobinsV1!$AA$1,TE_discrete_twobinsV1!$AG$1,TE_discrete_twobinsV1!$AI$1,TE_discrete_twobinsV1!$AK$1,TE_discrete_twobinsV1!$AM$1,TE_discrete_twobinsV1!$AO$1,TE_discrete_twobinsV1!$AQ$1,TE_discrete_twobinsV1!$AS$1,TE_discrete_twobinsV1!$AU$1,TE_discrete_twobinsV1!$AW$1,TE_discrete_twobinsV1!$AY$1)</c:f>
              <c:strCache>
                <c:ptCount val="20"/>
                <c:pt idx="0">
                  <c:v>dyad_02_anno02</c:v>
                </c:pt>
                <c:pt idx="1">
                  <c:v>dyad_03_anno02</c:v>
                </c:pt>
                <c:pt idx="2">
                  <c:v>dyad_04_anno02</c:v>
                </c:pt>
                <c:pt idx="3">
                  <c:v>dyad_05_anno02</c:v>
                </c:pt>
                <c:pt idx="4">
                  <c:v>dyad_06_anno02</c:v>
                </c:pt>
                <c:pt idx="5">
                  <c:v>dyad_07_anno02</c:v>
                </c:pt>
                <c:pt idx="6">
                  <c:v>dyad_10_anno02</c:v>
                </c:pt>
                <c:pt idx="7">
                  <c:v>dyad_11_anno02</c:v>
                </c:pt>
                <c:pt idx="8">
                  <c:v>triad_01_anno02</c:v>
                </c:pt>
                <c:pt idx="9">
                  <c:v>triad_02_anno02</c:v>
                </c:pt>
                <c:pt idx="10">
                  <c:v>triad_05_anno02</c:v>
                </c:pt>
                <c:pt idx="11">
                  <c:v>triad_06_anno02</c:v>
                </c:pt>
                <c:pt idx="12">
                  <c:v>triad_07_anno02</c:v>
                </c:pt>
                <c:pt idx="13">
                  <c:v>triad_08_anno02</c:v>
                </c:pt>
                <c:pt idx="14">
                  <c:v>triad_09_anno02</c:v>
                </c:pt>
                <c:pt idx="15">
                  <c:v>triad_10_anno02</c:v>
                </c:pt>
                <c:pt idx="16">
                  <c:v>triad_11_anno02</c:v>
                </c:pt>
                <c:pt idx="17">
                  <c:v>triad_12_anno02</c:v>
                </c:pt>
                <c:pt idx="18">
                  <c:v>triad_13_anno02</c:v>
                </c:pt>
                <c:pt idx="19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TE_discrete_twobinsV1!$B$3:$AY$3</c15:sqref>
                  </c15:fullRef>
                </c:ext>
              </c:extLst>
              <c:f>(TE_discrete_twobinsV1!$E$3,TE_discrete_twobinsV1!$G$3,TE_discrete_twobinsV1!$I$3,TE_discrete_twobinsV1!$K$3,TE_discrete_twobinsV1!$M$3,TE_discrete_twobinsV1!$O$3,TE_discrete_twobinsV1!$U$3,TE_discrete_twobinsV1!$W$3,TE_discrete_twobinsV1!$Y$3,TE_discrete_twobinsV1!$AA$3,TE_discrete_twobinsV1!$AG$3,TE_discrete_twobinsV1!$AI$3,TE_discrete_twobinsV1!$AK$3,TE_discrete_twobinsV1!$AM$3,TE_discrete_twobinsV1!$AO$3,TE_discrete_twobinsV1!$AQ$3,TE_discrete_twobinsV1!$AS$3,TE_discrete_twobinsV1!$AU$3,TE_discrete_twobinsV1!$AW$3,TE_discrete_twobinsV1!$AY$3)</c:f>
              <c:numCache>
                <c:formatCode>General</c:formatCode>
                <c:ptCount val="20"/>
                <c:pt idx="0">
                  <c:v>0.24365173972695101</c:v>
                </c:pt>
                <c:pt idx="1">
                  <c:v>0.39512592406966501</c:v>
                </c:pt>
                <c:pt idx="2">
                  <c:v>0.21691554014242101</c:v>
                </c:pt>
                <c:pt idx="3">
                  <c:v>0.28138712201095201</c:v>
                </c:pt>
                <c:pt idx="4">
                  <c:v>0.123424118027047</c:v>
                </c:pt>
                <c:pt idx="5">
                  <c:v>0.255929656054036</c:v>
                </c:pt>
                <c:pt idx="6">
                  <c:v>0.22656767498343999</c:v>
                </c:pt>
                <c:pt idx="7">
                  <c:v>0.68852661479560295</c:v>
                </c:pt>
                <c:pt idx="8">
                  <c:v>0.326925672129672</c:v>
                </c:pt>
                <c:pt idx="9">
                  <c:v>0.25819067296339998</c:v>
                </c:pt>
                <c:pt idx="10">
                  <c:v>0.27978680925678301</c:v>
                </c:pt>
                <c:pt idx="11">
                  <c:v>0.52822314565461603</c:v>
                </c:pt>
                <c:pt idx="12">
                  <c:v>0.13473474496181401</c:v>
                </c:pt>
                <c:pt idx="13">
                  <c:v>1.33621823923277E-2</c:v>
                </c:pt>
                <c:pt idx="14">
                  <c:v>0.35110838696496</c:v>
                </c:pt>
                <c:pt idx="15">
                  <c:v>0.473507217847769</c:v>
                </c:pt>
                <c:pt idx="16">
                  <c:v>0.51803325551479296</c:v>
                </c:pt>
                <c:pt idx="17">
                  <c:v>0.53185981194285004</c:v>
                </c:pt>
                <c:pt idx="18">
                  <c:v>0.28960811566995698</c:v>
                </c:pt>
                <c:pt idx="19">
                  <c:v>0.50058924158905105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B-4A5C-B8EA-04111DA8B0FC}"/>
            </c:ext>
          </c:extLst>
        </c:ser>
        <c:ser>
          <c:idx val="2"/>
          <c:order val="2"/>
          <c:tx>
            <c:strRef>
              <c:f>TE_discrete_twobinsV1!$A$4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TE_discrete_twobinsV1!$B$1:$AY$1</c15:sqref>
                  </c15:fullRef>
                </c:ext>
              </c:extLst>
              <c:f>(TE_discrete_twobinsV1!$E$1,TE_discrete_twobinsV1!$G$1,TE_discrete_twobinsV1!$I$1,TE_discrete_twobinsV1!$K$1,TE_discrete_twobinsV1!$M$1,TE_discrete_twobinsV1!$O$1,TE_discrete_twobinsV1!$U$1,TE_discrete_twobinsV1!$W$1,TE_discrete_twobinsV1!$Y$1,TE_discrete_twobinsV1!$AA$1,TE_discrete_twobinsV1!$AG$1,TE_discrete_twobinsV1!$AI$1,TE_discrete_twobinsV1!$AK$1,TE_discrete_twobinsV1!$AM$1,TE_discrete_twobinsV1!$AO$1,TE_discrete_twobinsV1!$AQ$1,TE_discrete_twobinsV1!$AS$1,TE_discrete_twobinsV1!$AU$1,TE_discrete_twobinsV1!$AW$1,TE_discrete_twobinsV1!$AY$1)</c:f>
              <c:strCache>
                <c:ptCount val="20"/>
                <c:pt idx="0">
                  <c:v>dyad_02_anno02</c:v>
                </c:pt>
                <c:pt idx="1">
                  <c:v>dyad_03_anno02</c:v>
                </c:pt>
                <c:pt idx="2">
                  <c:v>dyad_04_anno02</c:v>
                </c:pt>
                <c:pt idx="3">
                  <c:v>dyad_05_anno02</c:v>
                </c:pt>
                <c:pt idx="4">
                  <c:v>dyad_06_anno02</c:v>
                </c:pt>
                <c:pt idx="5">
                  <c:v>dyad_07_anno02</c:v>
                </c:pt>
                <c:pt idx="6">
                  <c:v>dyad_10_anno02</c:v>
                </c:pt>
                <c:pt idx="7">
                  <c:v>dyad_11_anno02</c:v>
                </c:pt>
                <c:pt idx="8">
                  <c:v>triad_01_anno02</c:v>
                </c:pt>
                <c:pt idx="9">
                  <c:v>triad_02_anno02</c:v>
                </c:pt>
                <c:pt idx="10">
                  <c:v>triad_05_anno02</c:v>
                </c:pt>
                <c:pt idx="11">
                  <c:v>triad_06_anno02</c:v>
                </c:pt>
                <c:pt idx="12">
                  <c:v>triad_07_anno02</c:v>
                </c:pt>
                <c:pt idx="13">
                  <c:v>triad_08_anno02</c:v>
                </c:pt>
                <c:pt idx="14">
                  <c:v>triad_09_anno02</c:v>
                </c:pt>
                <c:pt idx="15">
                  <c:v>triad_10_anno02</c:v>
                </c:pt>
                <c:pt idx="16">
                  <c:v>triad_11_anno02</c:v>
                </c:pt>
                <c:pt idx="17">
                  <c:v>triad_12_anno02</c:v>
                </c:pt>
                <c:pt idx="18">
                  <c:v>triad_13_anno02</c:v>
                </c:pt>
                <c:pt idx="19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TE_discrete_twobinsV1!$B$4:$AY$4</c15:sqref>
                  </c15:fullRef>
                </c:ext>
              </c:extLst>
              <c:f>(TE_discrete_twobinsV1!$E$4,TE_discrete_twobinsV1!$G$4,TE_discrete_twobinsV1!$I$4,TE_discrete_twobinsV1!$K$4,TE_discrete_twobinsV1!$M$4,TE_discrete_twobinsV1!$O$4,TE_discrete_twobinsV1!$U$4,TE_discrete_twobinsV1!$W$4,TE_discrete_twobinsV1!$Y$4,TE_discrete_twobinsV1!$AA$4,TE_discrete_twobinsV1!$AG$4,TE_discrete_twobinsV1!$AI$4,TE_discrete_twobinsV1!$AK$4,TE_discrete_twobinsV1!$AM$4,TE_discrete_twobinsV1!$AO$4,TE_discrete_twobinsV1!$AQ$4,TE_discrete_twobinsV1!$AS$4,TE_discrete_twobinsV1!$AU$4,TE_discrete_twobinsV1!$AW$4,TE_discrete_twobinsV1!$AY$4)</c:f>
              <c:numCache>
                <c:formatCode>General</c:formatCode>
                <c:ptCount val="20"/>
                <c:pt idx="0">
                  <c:v>0.41566766379523601</c:v>
                </c:pt>
                <c:pt idx="1">
                  <c:v>0.118374890364615</c:v>
                </c:pt>
                <c:pt idx="2">
                  <c:v>0.26033231763775</c:v>
                </c:pt>
                <c:pt idx="3">
                  <c:v>0.35149154733154098</c:v>
                </c:pt>
                <c:pt idx="4">
                  <c:v>4.9990622851069998E-2</c:v>
                </c:pt>
                <c:pt idx="5">
                  <c:v>0.16620311987147299</c:v>
                </c:pt>
                <c:pt idx="6">
                  <c:v>0.38024398321925301</c:v>
                </c:pt>
                <c:pt idx="7">
                  <c:v>0.22852085134411901</c:v>
                </c:pt>
                <c:pt idx="8">
                  <c:v>0.44551738615405301</c:v>
                </c:pt>
                <c:pt idx="9">
                  <c:v>0.13474025974025899</c:v>
                </c:pt>
                <c:pt idx="10">
                  <c:v>0.35603548549504299</c:v>
                </c:pt>
                <c:pt idx="11">
                  <c:v>0.17344081610814799</c:v>
                </c:pt>
                <c:pt idx="12">
                  <c:v>0.64189931291665603</c:v>
                </c:pt>
                <c:pt idx="13">
                  <c:v>0.96657992456360897</c:v>
                </c:pt>
                <c:pt idx="14">
                  <c:v>0.140770252324037</c:v>
                </c:pt>
                <c:pt idx="15">
                  <c:v>0.46855861767279</c:v>
                </c:pt>
                <c:pt idx="16">
                  <c:v>0.48196674448520599</c:v>
                </c:pt>
                <c:pt idx="17">
                  <c:v>0.33659787519843598</c:v>
                </c:pt>
                <c:pt idx="18">
                  <c:v>0.55623747721077998</c:v>
                </c:pt>
                <c:pt idx="19">
                  <c:v>0.27099410758410902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6B-4A5C-B8EA-04111DA8B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3489136"/>
        <c:axId val="1983488656"/>
      </c:barChart>
      <c:catAx>
        <c:axId val="198348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88656"/>
        <c:crosses val="autoZero"/>
        <c:auto val="1"/>
        <c:lblAlgn val="ctr"/>
        <c:lblOffset val="100"/>
        <c:noMultiLvlLbl val="0"/>
      </c:catAx>
      <c:valAx>
        <c:axId val="19834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8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Helen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TE_discrete_twobinsV2!$A$2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TE_discrete_twobinsV2!$B$1:$AO$1</c15:sqref>
                  </c15:fullRef>
                </c:ext>
              </c:extLst>
              <c:f>(TE_discrete_twobinsV2!$B$1,TE_discrete_twobinsV2!$D$1,TE_discrete_twobinsV2!$F$1,TE_discrete_twobinsV2!$H$1,TE_discrete_twobinsV2!$J$1,TE_discrete_twobinsV2!$L$1,TE_discrete_twobinsV2!$N$1,TE_discrete_twobinsV2!$P$1,TE_discrete_twobinsV2!$R$1,TE_discrete_twobinsV2!$T$1,TE_discrete_twobinsV2!$V$1,TE_discrete_twobinsV2!$X$1,TE_discrete_twobinsV2!$Z$1,TE_discrete_twobinsV2!$AB$1,TE_discrete_twobinsV2!$AD$1,TE_discrete_twobinsV2!$AF$1,TE_discrete_twobinsV2!$AH$1,TE_discrete_twobinsV2!$AJ$1,TE_discrete_twobinsV2!$AL$1,TE_discrete_twobinsV2!$AN$1)</c:f>
              <c:strCache>
                <c:ptCount val="20"/>
                <c:pt idx="0">
                  <c:v>dyad_02_anno01</c:v>
                </c:pt>
                <c:pt idx="1">
                  <c:v>dyad_03_anno01</c:v>
                </c:pt>
                <c:pt idx="2">
                  <c:v>dyad_04_anno01</c:v>
                </c:pt>
                <c:pt idx="3">
                  <c:v>dyad_05_anno01</c:v>
                </c:pt>
                <c:pt idx="4">
                  <c:v>dyad_06_anno01</c:v>
                </c:pt>
                <c:pt idx="5">
                  <c:v>dyad_07_anno01</c:v>
                </c:pt>
                <c:pt idx="6">
                  <c:v>dyad_10_anno01</c:v>
                </c:pt>
                <c:pt idx="7">
                  <c:v>dyad_11_anno01</c:v>
                </c:pt>
                <c:pt idx="8">
                  <c:v>triad_01_anno01</c:v>
                </c:pt>
                <c:pt idx="9">
                  <c:v>triad_02_anno01</c:v>
                </c:pt>
                <c:pt idx="10">
                  <c:v>triad_05_anno01</c:v>
                </c:pt>
                <c:pt idx="11">
                  <c:v>triad_06_anno01</c:v>
                </c:pt>
                <c:pt idx="12">
                  <c:v>triad_07_anno01</c:v>
                </c:pt>
                <c:pt idx="13">
                  <c:v>triad_08_anno01</c:v>
                </c:pt>
                <c:pt idx="14">
                  <c:v>triad_09_anno01</c:v>
                </c:pt>
                <c:pt idx="15">
                  <c:v>triad_10_anno01</c:v>
                </c:pt>
                <c:pt idx="16">
                  <c:v>triad_11_anno01</c:v>
                </c:pt>
                <c:pt idx="17">
                  <c:v>triad_12_anno01</c:v>
                </c:pt>
                <c:pt idx="18">
                  <c:v>triad_13_anno01</c:v>
                </c:pt>
                <c:pt idx="19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TE_discrete_twobinsV2!$B$2:$AO$2</c15:sqref>
                  </c15:fullRef>
                </c:ext>
              </c:extLst>
              <c:f>(TE_discrete_twobinsV2!$B$2,TE_discrete_twobinsV2!$D$2,TE_discrete_twobinsV2!$F$2,TE_discrete_twobinsV2!$H$2,TE_discrete_twobinsV2!$J$2,TE_discrete_twobinsV2!$L$2,TE_discrete_twobinsV2!$N$2,TE_discrete_twobinsV2!$P$2,TE_discrete_twobinsV2!$R$2,TE_discrete_twobinsV2!$T$2,TE_discrete_twobinsV2!$V$2,TE_discrete_twobinsV2!$X$2,TE_discrete_twobinsV2!$Z$2,TE_discrete_twobinsV2!$AB$2,TE_discrete_twobinsV2!$AD$2,TE_discrete_twobinsV2!$AF$2,TE_discrete_twobinsV2!$AH$2,TE_discrete_twobinsV2!$AJ$2,TE_discrete_twobinsV2!$AL$2,TE_discrete_twobinsV2!$AN$2)</c:f>
              <c:numCache>
                <c:formatCode>General</c:formatCode>
                <c:ptCount val="20"/>
                <c:pt idx="0">
                  <c:v>0.47961134477407102</c:v>
                </c:pt>
                <c:pt idx="1">
                  <c:v>0.74818318506452797</c:v>
                </c:pt>
                <c:pt idx="2">
                  <c:v>0.66684062557869395</c:v>
                </c:pt>
                <c:pt idx="3">
                  <c:v>0.43899452362325198</c:v>
                </c:pt>
                <c:pt idx="4">
                  <c:v>0.92854612515368096</c:v>
                </c:pt>
                <c:pt idx="5">
                  <c:v>0.695354742861091</c:v>
                </c:pt>
                <c:pt idx="6">
                  <c:v>0.116140428350629</c:v>
                </c:pt>
                <c:pt idx="7">
                  <c:v>0.60213659380017204</c:v>
                </c:pt>
                <c:pt idx="8">
                  <c:v>0.43328185212397402</c:v>
                </c:pt>
                <c:pt idx="9">
                  <c:v>0.79845533254624101</c:v>
                </c:pt>
                <c:pt idx="10">
                  <c:v>0.63778406624884898</c:v>
                </c:pt>
                <c:pt idx="11">
                  <c:v>0.71398762283533301</c:v>
                </c:pt>
                <c:pt idx="12">
                  <c:v>0.35741104952619301</c:v>
                </c:pt>
                <c:pt idx="13">
                  <c:v>6.3156048068769899E-2</c:v>
                </c:pt>
                <c:pt idx="14">
                  <c:v>0.69235877004801305</c:v>
                </c:pt>
                <c:pt idx="15">
                  <c:v>0.32977909011373502</c:v>
                </c:pt>
                <c:pt idx="16">
                  <c:v>0.21420744199342501</c:v>
                </c:pt>
                <c:pt idx="17">
                  <c:v>0.72785443888142598</c:v>
                </c:pt>
                <c:pt idx="18">
                  <c:v>0.69873102402570397</c:v>
                </c:pt>
                <c:pt idx="19">
                  <c:v>0.55135905721345702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D-492A-8E45-EC92A64172B6}"/>
            </c:ext>
          </c:extLst>
        </c:ser>
        <c:ser>
          <c:idx val="1"/>
          <c:order val="1"/>
          <c:tx>
            <c:strRef>
              <c:f>TE_discrete_twobinsV2!$A$3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TE_discrete_twobinsV2!$B$1:$AO$1</c15:sqref>
                  </c15:fullRef>
                </c:ext>
              </c:extLst>
              <c:f>(TE_discrete_twobinsV2!$B$1,TE_discrete_twobinsV2!$D$1,TE_discrete_twobinsV2!$F$1,TE_discrete_twobinsV2!$H$1,TE_discrete_twobinsV2!$J$1,TE_discrete_twobinsV2!$L$1,TE_discrete_twobinsV2!$N$1,TE_discrete_twobinsV2!$P$1,TE_discrete_twobinsV2!$R$1,TE_discrete_twobinsV2!$T$1,TE_discrete_twobinsV2!$V$1,TE_discrete_twobinsV2!$X$1,TE_discrete_twobinsV2!$Z$1,TE_discrete_twobinsV2!$AB$1,TE_discrete_twobinsV2!$AD$1,TE_discrete_twobinsV2!$AF$1,TE_discrete_twobinsV2!$AH$1,TE_discrete_twobinsV2!$AJ$1,TE_discrete_twobinsV2!$AL$1,TE_discrete_twobinsV2!$AN$1)</c:f>
              <c:strCache>
                <c:ptCount val="20"/>
                <c:pt idx="0">
                  <c:v>dyad_02_anno01</c:v>
                </c:pt>
                <c:pt idx="1">
                  <c:v>dyad_03_anno01</c:v>
                </c:pt>
                <c:pt idx="2">
                  <c:v>dyad_04_anno01</c:v>
                </c:pt>
                <c:pt idx="3">
                  <c:v>dyad_05_anno01</c:v>
                </c:pt>
                <c:pt idx="4">
                  <c:v>dyad_06_anno01</c:v>
                </c:pt>
                <c:pt idx="5">
                  <c:v>dyad_07_anno01</c:v>
                </c:pt>
                <c:pt idx="6">
                  <c:v>dyad_10_anno01</c:v>
                </c:pt>
                <c:pt idx="7">
                  <c:v>dyad_11_anno01</c:v>
                </c:pt>
                <c:pt idx="8">
                  <c:v>triad_01_anno01</c:v>
                </c:pt>
                <c:pt idx="9">
                  <c:v>triad_02_anno01</c:v>
                </c:pt>
                <c:pt idx="10">
                  <c:v>triad_05_anno01</c:v>
                </c:pt>
                <c:pt idx="11">
                  <c:v>triad_06_anno01</c:v>
                </c:pt>
                <c:pt idx="12">
                  <c:v>triad_07_anno01</c:v>
                </c:pt>
                <c:pt idx="13">
                  <c:v>triad_08_anno01</c:v>
                </c:pt>
                <c:pt idx="14">
                  <c:v>triad_09_anno01</c:v>
                </c:pt>
                <c:pt idx="15">
                  <c:v>triad_10_anno01</c:v>
                </c:pt>
                <c:pt idx="16">
                  <c:v>triad_11_anno01</c:v>
                </c:pt>
                <c:pt idx="17">
                  <c:v>triad_12_anno01</c:v>
                </c:pt>
                <c:pt idx="18">
                  <c:v>triad_13_anno01</c:v>
                </c:pt>
                <c:pt idx="19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TE_discrete_twobinsV2!$B$3:$AO$3</c15:sqref>
                  </c15:fullRef>
                </c:ext>
              </c:extLst>
              <c:f>(TE_discrete_twobinsV2!$B$3,TE_discrete_twobinsV2!$D$3,TE_discrete_twobinsV2!$F$3,TE_discrete_twobinsV2!$H$3,TE_discrete_twobinsV2!$J$3,TE_discrete_twobinsV2!$L$3,TE_discrete_twobinsV2!$N$3,TE_discrete_twobinsV2!$P$3,TE_discrete_twobinsV2!$R$3,TE_discrete_twobinsV2!$T$3,TE_discrete_twobinsV2!$V$3,TE_discrete_twobinsV2!$X$3,TE_discrete_twobinsV2!$Z$3,TE_discrete_twobinsV2!$AB$3,TE_discrete_twobinsV2!$AD$3,TE_discrete_twobinsV2!$AF$3,TE_discrete_twobinsV2!$AH$3,TE_discrete_twobinsV2!$AJ$3,TE_discrete_twobinsV2!$AL$3,TE_discrete_twobinsV2!$AN$3)</c:f>
              <c:numCache>
                <c:formatCode>General</c:formatCode>
                <c:ptCount val="20"/>
                <c:pt idx="0">
                  <c:v>0.14992915139110599</c:v>
                </c:pt>
                <c:pt idx="1">
                  <c:v>0.143731988472622</c:v>
                </c:pt>
                <c:pt idx="2">
                  <c:v>0.13700106058820499</c:v>
                </c:pt>
                <c:pt idx="3">
                  <c:v>0.30067349229565599</c:v>
                </c:pt>
                <c:pt idx="4">
                  <c:v>1.1044197628623201E-2</c:v>
                </c:pt>
                <c:pt idx="5">
                  <c:v>0.110888455093544</c:v>
                </c:pt>
                <c:pt idx="6">
                  <c:v>0.22885846765290299</c:v>
                </c:pt>
                <c:pt idx="7">
                  <c:v>0.34173150549586201</c:v>
                </c:pt>
                <c:pt idx="8">
                  <c:v>0.132581607713184</c:v>
                </c:pt>
                <c:pt idx="9">
                  <c:v>4.01908697363242E-2</c:v>
                </c:pt>
                <c:pt idx="10">
                  <c:v>0.28904012083123498</c:v>
                </c:pt>
                <c:pt idx="11">
                  <c:v>0.20964491448342201</c:v>
                </c:pt>
                <c:pt idx="12">
                  <c:v>0.218027636586549</c:v>
                </c:pt>
                <c:pt idx="13">
                  <c:v>0.15169147100961899</c:v>
                </c:pt>
                <c:pt idx="14">
                  <c:v>0.22900704872816399</c:v>
                </c:pt>
                <c:pt idx="15">
                  <c:v>0.33970363079615001</c:v>
                </c:pt>
                <c:pt idx="16">
                  <c:v>0.71232550383534199</c:v>
                </c:pt>
                <c:pt idx="17">
                  <c:v>0.20410306508731199</c:v>
                </c:pt>
                <c:pt idx="18">
                  <c:v>0.26164732215382902</c:v>
                </c:pt>
                <c:pt idx="19">
                  <c:v>0.36618513590572099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D-492A-8E45-EC92A64172B6}"/>
            </c:ext>
          </c:extLst>
        </c:ser>
        <c:ser>
          <c:idx val="2"/>
          <c:order val="2"/>
          <c:tx>
            <c:strRef>
              <c:f>TE_discrete_twobinsV2!$A$4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TE_discrete_twobinsV2!$B$1:$AO$1</c15:sqref>
                  </c15:fullRef>
                </c:ext>
              </c:extLst>
              <c:f>(TE_discrete_twobinsV2!$B$1,TE_discrete_twobinsV2!$D$1,TE_discrete_twobinsV2!$F$1,TE_discrete_twobinsV2!$H$1,TE_discrete_twobinsV2!$J$1,TE_discrete_twobinsV2!$L$1,TE_discrete_twobinsV2!$N$1,TE_discrete_twobinsV2!$P$1,TE_discrete_twobinsV2!$R$1,TE_discrete_twobinsV2!$T$1,TE_discrete_twobinsV2!$V$1,TE_discrete_twobinsV2!$X$1,TE_discrete_twobinsV2!$Z$1,TE_discrete_twobinsV2!$AB$1,TE_discrete_twobinsV2!$AD$1,TE_discrete_twobinsV2!$AF$1,TE_discrete_twobinsV2!$AH$1,TE_discrete_twobinsV2!$AJ$1,TE_discrete_twobinsV2!$AL$1,TE_discrete_twobinsV2!$AN$1)</c:f>
              <c:strCache>
                <c:ptCount val="20"/>
                <c:pt idx="0">
                  <c:v>dyad_02_anno01</c:v>
                </c:pt>
                <c:pt idx="1">
                  <c:v>dyad_03_anno01</c:v>
                </c:pt>
                <c:pt idx="2">
                  <c:v>dyad_04_anno01</c:v>
                </c:pt>
                <c:pt idx="3">
                  <c:v>dyad_05_anno01</c:v>
                </c:pt>
                <c:pt idx="4">
                  <c:v>dyad_06_anno01</c:v>
                </c:pt>
                <c:pt idx="5">
                  <c:v>dyad_07_anno01</c:v>
                </c:pt>
                <c:pt idx="6">
                  <c:v>dyad_10_anno01</c:v>
                </c:pt>
                <c:pt idx="7">
                  <c:v>dyad_11_anno01</c:v>
                </c:pt>
                <c:pt idx="8">
                  <c:v>triad_01_anno01</c:v>
                </c:pt>
                <c:pt idx="9">
                  <c:v>triad_02_anno01</c:v>
                </c:pt>
                <c:pt idx="10">
                  <c:v>triad_05_anno01</c:v>
                </c:pt>
                <c:pt idx="11">
                  <c:v>triad_06_anno01</c:v>
                </c:pt>
                <c:pt idx="12">
                  <c:v>triad_07_anno01</c:v>
                </c:pt>
                <c:pt idx="13">
                  <c:v>triad_08_anno01</c:v>
                </c:pt>
                <c:pt idx="14">
                  <c:v>triad_09_anno01</c:v>
                </c:pt>
                <c:pt idx="15">
                  <c:v>triad_10_anno01</c:v>
                </c:pt>
                <c:pt idx="16">
                  <c:v>triad_11_anno01</c:v>
                </c:pt>
                <c:pt idx="17">
                  <c:v>triad_12_anno01</c:v>
                </c:pt>
                <c:pt idx="18">
                  <c:v>triad_13_anno01</c:v>
                </c:pt>
                <c:pt idx="19">
                  <c:v>triad_14_anno01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TE_discrete_twobinsV2!$B$4:$AO$4</c15:sqref>
                  </c15:fullRef>
                </c:ext>
              </c:extLst>
              <c:f>(TE_discrete_twobinsV2!$B$4,TE_discrete_twobinsV2!$D$4,TE_discrete_twobinsV2!$F$4,TE_discrete_twobinsV2!$H$4,TE_discrete_twobinsV2!$J$4,TE_discrete_twobinsV2!$L$4,TE_discrete_twobinsV2!$N$4,TE_discrete_twobinsV2!$P$4,TE_discrete_twobinsV2!$R$4,TE_discrete_twobinsV2!$T$4,TE_discrete_twobinsV2!$V$4,TE_discrete_twobinsV2!$X$4,TE_discrete_twobinsV2!$Z$4,TE_discrete_twobinsV2!$AB$4,TE_discrete_twobinsV2!$AD$4,TE_discrete_twobinsV2!$AF$4,TE_discrete_twobinsV2!$AH$4,TE_discrete_twobinsV2!$AJ$4,TE_discrete_twobinsV2!$AL$4,TE_discrete_twobinsV2!$AN$4)</c:f>
              <c:numCache>
                <c:formatCode>General</c:formatCode>
                <c:ptCount val="20"/>
                <c:pt idx="0">
                  <c:v>0.37045950383482101</c:v>
                </c:pt>
                <c:pt idx="1">
                  <c:v>0.108069164265129</c:v>
                </c:pt>
                <c:pt idx="2">
                  <c:v>0.19615831383310001</c:v>
                </c:pt>
                <c:pt idx="3">
                  <c:v>0.25801898023742298</c:v>
                </c:pt>
                <c:pt idx="4">
                  <c:v>6.0388839108962401E-2</c:v>
                </c:pt>
                <c:pt idx="5">
                  <c:v>0.19373952700951799</c:v>
                </c:pt>
                <c:pt idx="6">
                  <c:v>0.65381430779421501</c:v>
                </c:pt>
                <c:pt idx="7">
                  <c:v>5.6131900703964399E-2</c:v>
                </c:pt>
                <c:pt idx="8">
                  <c:v>0.42654930950203102</c:v>
                </c:pt>
                <c:pt idx="9">
                  <c:v>0.16135379771743399</c:v>
                </c:pt>
                <c:pt idx="10">
                  <c:v>7.3175812919914499E-2</c:v>
                </c:pt>
                <c:pt idx="11">
                  <c:v>7.6367462681243406E-2</c:v>
                </c:pt>
                <c:pt idx="12">
                  <c:v>0.42456131388725699</c:v>
                </c:pt>
                <c:pt idx="13">
                  <c:v>0.78515248092161005</c:v>
                </c:pt>
                <c:pt idx="14">
                  <c:v>7.8608642353662203E-2</c:v>
                </c:pt>
                <c:pt idx="15">
                  <c:v>0.33051727909011303</c:v>
                </c:pt>
                <c:pt idx="16">
                  <c:v>7.3467054171232504E-2</c:v>
                </c:pt>
                <c:pt idx="17">
                  <c:v>6.8042496031261404E-2</c:v>
                </c:pt>
                <c:pt idx="18">
                  <c:v>3.9621653820466E-2</c:v>
                </c:pt>
                <c:pt idx="19">
                  <c:v>8.2455806880821103E-2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3D-492A-8E45-EC92A6417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077904"/>
        <c:axId val="252079824"/>
      </c:barChart>
      <c:catAx>
        <c:axId val="2520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9824"/>
        <c:crosses val="autoZero"/>
        <c:auto val="1"/>
        <c:lblAlgn val="ctr"/>
        <c:lblOffset val="100"/>
        <c:noMultiLvlLbl val="0"/>
      </c:catAx>
      <c:valAx>
        <c:axId val="2520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Laura Ann </a:t>
            </a:r>
            <a:r>
              <a:rPr lang="en-GB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(.2, .45, 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TE_discrete_twobinsV2!$A$2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TE_discrete_twobinsV2!$B$1:$AO$1</c15:sqref>
                  </c15:fullRef>
                </c:ext>
              </c:extLst>
              <c:f>(TE_discrete_twobinsV2!$C$1,TE_discrete_twobinsV2!$E$1,TE_discrete_twobinsV2!$G$1,TE_discrete_twobinsV2!$I$1,TE_discrete_twobinsV2!$K$1,TE_discrete_twobinsV2!$M$1,TE_discrete_twobinsV2!$O$1,TE_discrete_twobinsV2!$Q$1,TE_discrete_twobinsV2!$S$1,TE_discrete_twobinsV2!$U$1,TE_discrete_twobinsV2!$W$1,TE_discrete_twobinsV2!$Y$1,TE_discrete_twobinsV2!$AA$1,TE_discrete_twobinsV2!$AC$1,TE_discrete_twobinsV2!$AE$1,TE_discrete_twobinsV2!$AG$1,TE_discrete_twobinsV2!$AI$1,TE_discrete_twobinsV2!$AK$1,TE_discrete_twobinsV2!$AM$1,TE_discrete_twobinsV2!$AO$1)</c:f>
              <c:strCache>
                <c:ptCount val="20"/>
                <c:pt idx="0">
                  <c:v>dyad_02_anno02</c:v>
                </c:pt>
                <c:pt idx="1">
                  <c:v>dyad_03_anno02</c:v>
                </c:pt>
                <c:pt idx="2">
                  <c:v>dyad_04_anno02</c:v>
                </c:pt>
                <c:pt idx="3">
                  <c:v>dyad_05_anno02</c:v>
                </c:pt>
                <c:pt idx="4">
                  <c:v>dyad_06_anno02</c:v>
                </c:pt>
                <c:pt idx="5">
                  <c:v>dyad_07_anno02</c:v>
                </c:pt>
                <c:pt idx="6">
                  <c:v>dyad_10_anno02</c:v>
                </c:pt>
                <c:pt idx="7">
                  <c:v>dyad_11_anno02</c:v>
                </c:pt>
                <c:pt idx="8">
                  <c:v>triad_01_anno02</c:v>
                </c:pt>
                <c:pt idx="9">
                  <c:v>triad_02_anno02</c:v>
                </c:pt>
                <c:pt idx="10">
                  <c:v>triad_05_anno02</c:v>
                </c:pt>
                <c:pt idx="11">
                  <c:v>triad_06_anno02</c:v>
                </c:pt>
                <c:pt idx="12">
                  <c:v>triad_07_anno02</c:v>
                </c:pt>
                <c:pt idx="13">
                  <c:v>triad_08_anno02</c:v>
                </c:pt>
                <c:pt idx="14">
                  <c:v>triad_09_anno02</c:v>
                </c:pt>
                <c:pt idx="15">
                  <c:v>triad_10_anno02</c:v>
                </c:pt>
                <c:pt idx="16">
                  <c:v>triad_11_anno02</c:v>
                </c:pt>
                <c:pt idx="17">
                  <c:v>triad_12_anno02</c:v>
                </c:pt>
                <c:pt idx="18">
                  <c:v>triad_13_anno02</c:v>
                </c:pt>
                <c:pt idx="19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TE_discrete_twobinsV2!$B$2:$AO$2</c15:sqref>
                  </c15:fullRef>
                </c:ext>
              </c:extLst>
              <c:f>(TE_discrete_twobinsV2!$C$2,TE_discrete_twobinsV2!$E$2,TE_discrete_twobinsV2!$G$2,TE_discrete_twobinsV2!$I$2,TE_discrete_twobinsV2!$K$2,TE_discrete_twobinsV2!$M$2,TE_discrete_twobinsV2!$O$2,TE_discrete_twobinsV2!$Q$2,TE_discrete_twobinsV2!$S$2,TE_discrete_twobinsV2!$U$2,TE_discrete_twobinsV2!$W$2,TE_discrete_twobinsV2!$Y$2,TE_discrete_twobinsV2!$AA$2,TE_discrete_twobinsV2!$AC$2,TE_discrete_twobinsV2!$AE$2,TE_discrete_twobinsV2!$AG$2,TE_discrete_twobinsV2!$AI$2,TE_discrete_twobinsV2!$AK$2,TE_discrete_twobinsV2!$AM$2,TE_discrete_twobinsV2!$AO$2)</c:f>
              <c:numCache>
                <c:formatCode>General</c:formatCode>
                <c:ptCount val="20"/>
                <c:pt idx="0">
                  <c:v>0.241717460246058</c:v>
                </c:pt>
                <c:pt idx="1">
                  <c:v>0.48646786117027901</c:v>
                </c:pt>
                <c:pt idx="2">
                  <c:v>0.52275214221982702</c:v>
                </c:pt>
                <c:pt idx="3">
                  <c:v>0.35996122317085599</c:v>
                </c:pt>
                <c:pt idx="4">
                  <c:v>0.826293525599616</c:v>
                </c:pt>
                <c:pt idx="5">
                  <c:v>0.56917788104410305</c:v>
                </c:pt>
                <c:pt idx="6">
                  <c:v>9.9939280194303301E-2</c:v>
                </c:pt>
                <c:pt idx="7">
                  <c:v>7.1466798402700593E-2</c:v>
                </c:pt>
                <c:pt idx="8">
                  <c:v>0.212697365461606</c:v>
                </c:pt>
                <c:pt idx="9">
                  <c:v>0.60706906729634003</c:v>
                </c:pt>
                <c:pt idx="10">
                  <c:v>2.68918942379472E-2</c:v>
                </c:pt>
                <c:pt idx="11">
                  <c:v>0.28492447076028599</c:v>
                </c:pt>
                <c:pt idx="12">
                  <c:v>7.0496283619830902E-2</c:v>
                </c:pt>
                <c:pt idx="13">
                  <c:v>0</c:v>
                </c:pt>
                <c:pt idx="14">
                  <c:v>0.50807028297068102</c:v>
                </c:pt>
                <c:pt idx="15">
                  <c:v>2.6438101487314E-2</c:v>
                </c:pt>
                <c:pt idx="16">
                  <c:v>0</c:v>
                </c:pt>
                <c:pt idx="17">
                  <c:v>0.12382464281353001</c:v>
                </c:pt>
                <c:pt idx="18">
                  <c:v>0.14697016191628001</c:v>
                </c:pt>
                <c:pt idx="19">
                  <c:v>0.21199391750617699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2-45DD-9918-16D1ABE7DAFE}"/>
            </c:ext>
          </c:extLst>
        </c:ser>
        <c:ser>
          <c:idx val="1"/>
          <c:order val="1"/>
          <c:tx>
            <c:strRef>
              <c:f>TE_discrete_twobinsV2!$A$3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TE_discrete_twobinsV2!$B$1:$AO$1</c15:sqref>
                  </c15:fullRef>
                </c:ext>
              </c:extLst>
              <c:f>(TE_discrete_twobinsV2!$C$1,TE_discrete_twobinsV2!$E$1,TE_discrete_twobinsV2!$G$1,TE_discrete_twobinsV2!$I$1,TE_discrete_twobinsV2!$K$1,TE_discrete_twobinsV2!$M$1,TE_discrete_twobinsV2!$O$1,TE_discrete_twobinsV2!$Q$1,TE_discrete_twobinsV2!$S$1,TE_discrete_twobinsV2!$U$1,TE_discrete_twobinsV2!$W$1,TE_discrete_twobinsV2!$Y$1,TE_discrete_twobinsV2!$AA$1,TE_discrete_twobinsV2!$AC$1,TE_discrete_twobinsV2!$AE$1,TE_discrete_twobinsV2!$AG$1,TE_discrete_twobinsV2!$AI$1,TE_discrete_twobinsV2!$AK$1,TE_discrete_twobinsV2!$AM$1,TE_discrete_twobinsV2!$AO$1)</c:f>
              <c:strCache>
                <c:ptCount val="20"/>
                <c:pt idx="0">
                  <c:v>dyad_02_anno02</c:v>
                </c:pt>
                <c:pt idx="1">
                  <c:v>dyad_03_anno02</c:v>
                </c:pt>
                <c:pt idx="2">
                  <c:v>dyad_04_anno02</c:v>
                </c:pt>
                <c:pt idx="3">
                  <c:v>dyad_05_anno02</c:v>
                </c:pt>
                <c:pt idx="4">
                  <c:v>dyad_06_anno02</c:v>
                </c:pt>
                <c:pt idx="5">
                  <c:v>dyad_07_anno02</c:v>
                </c:pt>
                <c:pt idx="6">
                  <c:v>dyad_10_anno02</c:v>
                </c:pt>
                <c:pt idx="7">
                  <c:v>dyad_11_anno02</c:v>
                </c:pt>
                <c:pt idx="8">
                  <c:v>triad_01_anno02</c:v>
                </c:pt>
                <c:pt idx="9">
                  <c:v>triad_02_anno02</c:v>
                </c:pt>
                <c:pt idx="10">
                  <c:v>triad_05_anno02</c:v>
                </c:pt>
                <c:pt idx="11">
                  <c:v>triad_06_anno02</c:v>
                </c:pt>
                <c:pt idx="12">
                  <c:v>triad_07_anno02</c:v>
                </c:pt>
                <c:pt idx="13">
                  <c:v>triad_08_anno02</c:v>
                </c:pt>
                <c:pt idx="14">
                  <c:v>triad_09_anno02</c:v>
                </c:pt>
                <c:pt idx="15">
                  <c:v>triad_10_anno02</c:v>
                </c:pt>
                <c:pt idx="16">
                  <c:v>triad_11_anno02</c:v>
                </c:pt>
                <c:pt idx="17">
                  <c:v>triad_12_anno02</c:v>
                </c:pt>
                <c:pt idx="18">
                  <c:v>triad_13_anno02</c:v>
                </c:pt>
                <c:pt idx="19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TE_discrete_twobinsV2!$B$3:$AO$3</c15:sqref>
                  </c15:fullRef>
                </c:ext>
              </c:extLst>
              <c:f>(TE_discrete_twobinsV2!$C$3,TE_discrete_twobinsV2!$E$3,TE_discrete_twobinsV2!$G$3,TE_discrete_twobinsV2!$I$3,TE_discrete_twobinsV2!$K$3,TE_discrete_twobinsV2!$M$3,TE_discrete_twobinsV2!$O$3,TE_discrete_twobinsV2!$Q$3,TE_discrete_twobinsV2!$S$3,TE_discrete_twobinsV2!$U$3,TE_discrete_twobinsV2!$W$3,TE_discrete_twobinsV2!$Y$3,TE_discrete_twobinsV2!$AA$3,TE_discrete_twobinsV2!$AC$3,TE_discrete_twobinsV2!$AE$3,TE_discrete_twobinsV2!$AG$3,TE_discrete_twobinsV2!$AI$3,TE_discrete_twobinsV2!$AK$3,TE_discrete_twobinsV2!$AM$3,TE_discrete_twobinsV2!$AO$3)</c:f>
              <c:numCache>
                <c:formatCode>General</c:formatCode>
                <c:ptCount val="20"/>
                <c:pt idx="0">
                  <c:v>0.24365173972695101</c:v>
                </c:pt>
                <c:pt idx="1">
                  <c:v>0.39512592406966501</c:v>
                </c:pt>
                <c:pt idx="2">
                  <c:v>0.21691554014242101</c:v>
                </c:pt>
                <c:pt idx="3">
                  <c:v>0.28138712201095201</c:v>
                </c:pt>
                <c:pt idx="4">
                  <c:v>0.123424118027047</c:v>
                </c:pt>
                <c:pt idx="5">
                  <c:v>0.255929656054036</c:v>
                </c:pt>
                <c:pt idx="6">
                  <c:v>0.22656767498343999</c:v>
                </c:pt>
                <c:pt idx="7">
                  <c:v>0.68852661479560295</c:v>
                </c:pt>
                <c:pt idx="8">
                  <c:v>0.326925672129672</c:v>
                </c:pt>
                <c:pt idx="9">
                  <c:v>0.25819067296339998</c:v>
                </c:pt>
                <c:pt idx="10">
                  <c:v>0.27978680925678301</c:v>
                </c:pt>
                <c:pt idx="11">
                  <c:v>0.52822314565461603</c:v>
                </c:pt>
                <c:pt idx="12">
                  <c:v>0.13473474496181401</c:v>
                </c:pt>
                <c:pt idx="13">
                  <c:v>1.33621823923277E-2</c:v>
                </c:pt>
                <c:pt idx="14">
                  <c:v>0.35110838696496</c:v>
                </c:pt>
                <c:pt idx="15">
                  <c:v>0.473507217847769</c:v>
                </c:pt>
                <c:pt idx="16">
                  <c:v>0.51803325551479296</c:v>
                </c:pt>
                <c:pt idx="17">
                  <c:v>0.53185981194285004</c:v>
                </c:pt>
                <c:pt idx="18">
                  <c:v>0.28960811566995698</c:v>
                </c:pt>
                <c:pt idx="19">
                  <c:v>0.50058924158905105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2-45DD-9918-16D1ABE7DAFE}"/>
            </c:ext>
          </c:extLst>
        </c:ser>
        <c:ser>
          <c:idx val="2"/>
          <c:order val="2"/>
          <c:tx>
            <c:strRef>
              <c:f>TE_discrete_twobinsV2!$A$4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TE_discrete_twobinsV2!$B$1:$AO$1</c15:sqref>
                  </c15:fullRef>
                </c:ext>
              </c:extLst>
              <c:f>(TE_discrete_twobinsV2!$C$1,TE_discrete_twobinsV2!$E$1,TE_discrete_twobinsV2!$G$1,TE_discrete_twobinsV2!$I$1,TE_discrete_twobinsV2!$K$1,TE_discrete_twobinsV2!$M$1,TE_discrete_twobinsV2!$O$1,TE_discrete_twobinsV2!$Q$1,TE_discrete_twobinsV2!$S$1,TE_discrete_twobinsV2!$U$1,TE_discrete_twobinsV2!$W$1,TE_discrete_twobinsV2!$Y$1,TE_discrete_twobinsV2!$AA$1,TE_discrete_twobinsV2!$AC$1,TE_discrete_twobinsV2!$AE$1,TE_discrete_twobinsV2!$AG$1,TE_discrete_twobinsV2!$AI$1,TE_discrete_twobinsV2!$AK$1,TE_discrete_twobinsV2!$AM$1,TE_discrete_twobinsV2!$AO$1)</c:f>
              <c:strCache>
                <c:ptCount val="20"/>
                <c:pt idx="0">
                  <c:v>dyad_02_anno02</c:v>
                </c:pt>
                <c:pt idx="1">
                  <c:v>dyad_03_anno02</c:v>
                </c:pt>
                <c:pt idx="2">
                  <c:v>dyad_04_anno02</c:v>
                </c:pt>
                <c:pt idx="3">
                  <c:v>dyad_05_anno02</c:v>
                </c:pt>
                <c:pt idx="4">
                  <c:v>dyad_06_anno02</c:v>
                </c:pt>
                <c:pt idx="5">
                  <c:v>dyad_07_anno02</c:v>
                </c:pt>
                <c:pt idx="6">
                  <c:v>dyad_10_anno02</c:v>
                </c:pt>
                <c:pt idx="7">
                  <c:v>dyad_11_anno02</c:v>
                </c:pt>
                <c:pt idx="8">
                  <c:v>triad_01_anno02</c:v>
                </c:pt>
                <c:pt idx="9">
                  <c:v>triad_02_anno02</c:v>
                </c:pt>
                <c:pt idx="10">
                  <c:v>triad_05_anno02</c:v>
                </c:pt>
                <c:pt idx="11">
                  <c:v>triad_06_anno02</c:v>
                </c:pt>
                <c:pt idx="12">
                  <c:v>triad_07_anno02</c:v>
                </c:pt>
                <c:pt idx="13">
                  <c:v>triad_08_anno02</c:v>
                </c:pt>
                <c:pt idx="14">
                  <c:v>triad_09_anno02</c:v>
                </c:pt>
                <c:pt idx="15">
                  <c:v>triad_10_anno02</c:v>
                </c:pt>
                <c:pt idx="16">
                  <c:v>triad_11_anno02</c:v>
                </c:pt>
                <c:pt idx="17">
                  <c:v>triad_12_anno02</c:v>
                </c:pt>
                <c:pt idx="18">
                  <c:v>triad_13_anno02</c:v>
                </c:pt>
                <c:pt idx="19">
                  <c:v>triad_14_anno02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TE_discrete_twobinsV2!$B$4:$AO$4</c15:sqref>
                  </c15:fullRef>
                </c:ext>
              </c:extLst>
              <c:f>(TE_discrete_twobinsV2!$C$4,TE_discrete_twobinsV2!$E$4,TE_discrete_twobinsV2!$G$4,TE_discrete_twobinsV2!$I$4,TE_discrete_twobinsV2!$K$4,TE_discrete_twobinsV2!$M$4,TE_discrete_twobinsV2!$O$4,TE_discrete_twobinsV2!$Q$4,TE_discrete_twobinsV2!$S$4,TE_discrete_twobinsV2!$U$4,TE_discrete_twobinsV2!$W$4,TE_discrete_twobinsV2!$Y$4,TE_discrete_twobinsV2!$AA$4,TE_discrete_twobinsV2!$AC$4,TE_discrete_twobinsV2!$AE$4,TE_discrete_twobinsV2!$AG$4,TE_discrete_twobinsV2!$AI$4,TE_discrete_twobinsV2!$AK$4,TE_discrete_twobinsV2!$AM$4,TE_discrete_twobinsV2!$AO$4)</c:f>
              <c:numCache>
                <c:formatCode>General</c:formatCode>
                <c:ptCount val="20"/>
                <c:pt idx="0">
                  <c:v>0.41566766379523601</c:v>
                </c:pt>
                <c:pt idx="1">
                  <c:v>0.118374890364615</c:v>
                </c:pt>
                <c:pt idx="2">
                  <c:v>0.26033231763775</c:v>
                </c:pt>
                <c:pt idx="3">
                  <c:v>0.35149154733154098</c:v>
                </c:pt>
                <c:pt idx="4">
                  <c:v>4.9990622851069998E-2</c:v>
                </c:pt>
                <c:pt idx="5">
                  <c:v>0.16620311987147299</c:v>
                </c:pt>
                <c:pt idx="6">
                  <c:v>0.38024398321925301</c:v>
                </c:pt>
                <c:pt idx="7">
                  <c:v>0.22852085134411901</c:v>
                </c:pt>
                <c:pt idx="8">
                  <c:v>0.44551738615405301</c:v>
                </c:pt>
                <c:pt idx="9">
                  <c:v>0.13474025974025899</c:v>
                </c:pt>
                <c:pt idx="10">
                  <c:v>0.35603548549504299</c:v>
                </c:pt>
                <c:pt idx="11">
                  <c:v>0.17344081610814799</c:v>
                </c:pt>
                <c:pt idx="12">
                  <c:v>0.64189931291665603</c:v>
                </c:pt>
                <c:pt idx="13">
                  <c:v>0.96657992456360897</c:v>
                </c:pt>
                <c:pt idx="14">
                  <c:v>0.140770252324037</c:v>
                </c:pt>
                <c:pt idx="15">
                  <c:v>0.46855861767279</c:v>
                </c:pt>
                <c:pt idx="16">
                  <c:v>0.48196674448520599</c:v>
                </c:pt>
                <c:pt idx="17">
                  <c:v>0.33659787519843598</c:v>
                </c:pt>
                <c:pt idx="18">
                  <c:v>0.55623747721077998</c:v>
                </c:pt>
                <c:pt idx="19">
                  <c:v>0.27099410758410902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92-45DD-9918-16D1ABE7D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077904"/>
        <c:axId val="252079824"/>
      </c:barChart>
      <c:catAx>
        <c:axId val="2520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9824"/>
        <c:crosses val="autoZero"/>
        <c:auto val="1"/>
        <c:lblAlgn val="ctr"/>
        <c:lblOffset val="100"/>
        <c:noMultiLvlLbl val="0"/>
      </c:catAx>
      <c:valAx>
        <c:axId val="2520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572406</xdr:colOff>
      <xdr:row>32</xdr:row>
      <xdr:rowOff>65315</xdr:rowOff>
    </xdr:from>
    <xdr:to>
      <xdr:col>42</xdr:col>
      <xdr:colOff>557893</xdr:colOff>
      <xdr:row>49</xdr:row>
      <xdr:rowOff>94343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ABE9A5-DDB7-6662-AE8E-A7DD48132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987514</xdr:colOff>
      <xdr:row>32</xdr:row>
      <xdr:rowOff>74386</xdr:rowOff>
    </xdr:from>
    <xdr:to>
      <xdr:col>28</xdr:col>
      <xdr:colOff>412024</xdr:colOff>
      <xdr:row>49</xdr:row>
      <xdr:rowOff>100874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499667-E491-41EA-8ACD-12D003076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1022350</xdr:colOff>
      <xdr:row>51</xdr:row>
      <xdr:rowOff>44450</xdr:rowOff>
    </xdr:from>
    <xdr:to>
      <xdr:col>24</xdr:col>
      <xdr:colOff>539750</xdr:colOff>
      <xdr:row>68</xdr:row>
      <xdr:rowOff>73478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C1691F-13BB-4020-B981-1DA6F68D6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1047750</xdr:colOff>
      <xdr:row>68</xdr:row>
      <xdr:rowOff>127000</xdr:rowOff>
    </xdr:from>
    <xdr:to>
      <xdr:col>24</xdr:col>
      <xdr:colOff>533400</xdr:colOff>
      <xdr:row>85</xdr:row>
      <xdr:rowOff>156028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7170F2-28E8-44BF-AF0A-1CC702D0E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577851</xdr:colOff>
      <xdr:row>52</xdr:row>
      <xdr:rowOff>25400</xdr:rowOff>
    </xdr:from>
    <xdr:to>
      <xdr:col>37</xdr:col>
      <xdr:colOff>943428</xdr:colOff>
      <xdr:row>69</xdr:row>
      <xdr:rowOff>54428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57DFFE-0870-47A8-A32F-8EF9DB0A4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596900</xdr:colOff>
      <xdr:row>71</xdr:row>
      <xdr:rowOff>76200</xdr:rowOff>
    </xdr:from>
    <xdr:to>
      <xdr:col>37</xdr:col>
      <xdr:colOff>925285</xdr:colOff>
      <xdr:row>88</xdr:row>
      <xdr:rowOff>105228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FA3270-6F25-4E34-B50D-39DA2677D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13</xdr:row>
      <xdr:rowOff>154940</xdr:rowOff>
    </xdr:from>
    <xdr:to>
      <xdr:col>10</xdr:col>
      <xdr:colOff>899160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773D7-8D43-E0DE-4804-0CD954FC6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35</xdr:row>
      <xdr:rowOff>137160</xdr:rowOff>
    </xdr:from>
    <xdr:to>
      <xdr:col>8</xdr:col>
      <xdr:colOff>1084580</xdr:colOff>
      <xdr:row>51</xdr:row>
      <xdr:rowOff>48260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E458A3-5C03-4490-AB63-2235E692D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121920</xdr:colOff>
      <xdr:row>53</xdr:row>
      <xdr:rowOff>30480</xdr:rowOff>
    </xdr:from>
    <xdr:to>
      <xdr:col>9</xdr:col>
      <xdr:colOff>86360</xdr:colOff>
      <xdr:row>68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5508E-6A40-46E7-9653-ABA9A420C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16</xdr:col>
      <xdr:colOff>342900</xdr:colOff>
      <xdr:row>51</xdr:row>
      <xdr:rowOff>46990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4E58E-3816-451E-A2CC-9AAE63CC1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56</xdr:row>
      <xdr:rowOff>0</xdr:rowOff>
    </xdr:from>
    <xdr:to>
      <xdr:col>16</xdr:col>
      <xdr:colOff>304800</xdr:colOff>
      <xdr:row>73</xdr:row>
      <xdr:rowOff>48260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E4533D-E69A-4C00-AD54-21DDE3E0A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117474</xdr:colOff>
      <xdr:row>16</xdr:row>
      <xdr:rowOff>177800</xdr:rowOff>
    </xdr:from>
    <xdr:to>
      <xdr:col>13</xdr:col>
      <xdr:colOff>736600</xdr:colOff>
      <xdr:row>36</xdr:row>
      <xdr:rowOff>94800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E96C8A-ADE6-410F-7A72-6C3F68D8E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38</xdr:row>
      <xdr:rowOff>133350</xdr:rowOff>
    </xdr:from>
    <xdr:to>
      <xdr:col>13</xdr:col>
      <xdr:colOff>723900</xdr:colOff>
      <xdr:row>58</xdr:row>
      <xdr:rowOff>50350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54DB18-A492-44DF-9E02-F3A178E3E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11</xdr:row>
      <xdr:rowOff>57150</xdr:rowOff>
    </xdr:from>
    <xdr:to>
      <xdr:col>13</xdr:col>
      <xdr:colOff>222250</xdr:colOff>
      <xdr:row>33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13462C-65BC-101C-E27C-78EE8A594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285750</xdr:colOff>
      <xdr:row>35</xdr:row>
      <xdr:rowOff>25400</xdr:rowOff>
    </xdr:from>
    <xdr:to>
      <xdr:col>13</xdr:col>
      <xdr:colOff>196850</xdr:colOff>
      <xdr:row>57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BB5C8E-0FAF-4051-8A01-0273B020C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E9D27-6B14-49E4-88EA-1619B28E4CAD}" name="Table1" displayName="Table1" ref="A1:AY4" totalsRowShown="0">
  <autoFilter ref="A1:AY4" xr:uid="{F55E9D27-6B14-49E4-88EA-1619B28E4CAD}"/>
  <tableColumns count="51">
    <tableColumn id="1" xr3:uid="{91FA9904-3534-4E81-8BA4-B7BE63783D09}" name="task_eng"/>
    <tableColumn id="2" xr3:uid="{52CB9B1B-140E-49A4-8E6F-B0194B8718C0}" name="dyad_01_anno01"/>
    <tableColumn id="3" xr3:uid="{07981F3F-773B-4D85-9904-4AB9F690853B}" name="dyad_01_anno02"/>
    <tableColumn id="4" xr3:uid="{49F7CAC8-C16C-4B80-94B9-0D702372E471}" name="dyad_02_anno01"/>
    <tableColumn id="5" xr3:uid="{C9DF4074-F8D0-434A-84FF-E0522A275475}" name="dyad_02_anno02"/>
    <tableColumn id="6" xr3:uid="{6D6DA6D3-E753-416C-8A67-6F5B8972BC44}" name="dyad_03_anno01"/>
    <tableColumn id="7" xr3:uid="{6150C76D-9356-4C15-BB28-F5C8F0E9244A}" name="dyad_03_anno02"/>
    <tableColumn id="8" xr3:uid="{E4EB7717-EF4C-42F6-BD77-C4A6CA4C25A5}" name="dyad_04_anno01"/>
    <tableColumn id="9" xr3:uid="{18A40CD3-EEE7-4810-8B84-F768833FBBD0}" name="dyad_04_anno02"/>
    <tableColumn id="10" xr3:uid="{8EDFCD02-9E6E-46DE-9028-B1FEFDFB573B}" name="dyad_05_anno01"/>
    <tableColumn id="11" xr3:uid="{B7D4FD35-1AAC-4FF7-80AB-F11B1009E0A1}" name="dyad_05_anno02"/>
    <tableColumn id="12" xr3:uid="{E8885BF1-224A-4E30-A192-FA44055EAA51}" name="dyad_06_anno01"/>
    <tableColumn id="13" xr3:uid="{048959A1-CBD4-4030-BC73-813DC24D4F57}" name="dyad_06_anno02"/>
    <tableColumn id="14" xr3:uid="{A57BB1D1-7B1C-4ABF-B463-BF4C7F2FA22C}" name="dyad_07_anno01"/>
    <tableColumn id="15" xr3:uid="{18964359-904A-4785-A6B2-6D0298A4E6D3}" name="dyad_07_anno02"/>
    <tableColumn id="16" xr3:uid="{EA688B6C-C1FF-4215-9DD1-DB927A6EC8A4}" name="dyad_08_anno01"/>
    <tableColumn id="17" xr3:uid="{5B2BBFE2-EED7-42D2-8A8C-EBA1070BB2DD}" name="dyad_08_anno02"/>
    <tableColumn id="18" xr3:uid="{9130EF2E-5863-491B-8EC7-F5ED4030FBAA}" name="dyad_09_anno01"/>
    <tableColumn id="19" xr3:uid="{883281C9-9F89-48C3-89CF-75F7BE6778BC}" name="dyad_09_anno02"/>
    <tableColumn id="20" xr3:uid="{0F2EF491-BA2E-44CA-93F7-E7537575A8E4}" name="dyad_10_anno01"/>
    <tableColumn id="21" xr3:uid="{7DB223A1-04C1-4AD0-BB2E-41F9A9F3FD19}" name="dyad_10_anno02"/>
    <tableColumn id="22" xr3:uid="{A7CE8565-BA23-4B4A-B3F7-822BB8176280}" name="dyad_11_anno01"/>
    <tableColumn id="23" xr3:uid="{44EA7330-4071-456C-B839-EC172E14255C}" name="dyad_11_anno02"/>
    <tableColumn id="24" xr3:uid="{27EF6B3E-43A4-40A3-B32B-02DBCEFB03C9}" name="triad_01_anno01"/>
    <tableColumn id="25" xr3:uid="{194199BB-0B5F-455A-A659-07600E1C295A}" name="triad_01_anno02"/>
    <tableColumn id="26" xr3:uid="{4A0FC811-30A0-412A-8728-9D9A079BE073}" name="triad_02_anno01"/>
    <tableColumn id="27" xr3:uid="{0E1B5B22-01D6-45C7-9E43-A15CA2DA389F}" name="triad_02_anno02"/>
    <tableColumn id="28" xr3:uid="{862E4880-5B90-4DAB-8614-DF5BB7898CB7}" name="triad_03_anno01"/>
    <tableColumn id="29" xr3:uid="{674F459E-845E-4869-BE35-1EB1CCD34E8D}" name="triad_03_anno02"/>
    <tableColumn id="30" xr3:uid="{58CD96AA-6102-46BD-94B8-CD2D29DCE9CC}" name="triad_04_anno01"/>
    <tableColumn id="31" xr3:uid="{DFF778CF-C250-4D23-8843-720A13E85DEB}" name="triad_04_anno02"/>
    <tableColumn id="32" xr3:uid="{90DD520E-7CA6-4D59-B4BE-83CD09F5175C}" name="triad_05_anno01"/>
    <tableColumn id="33" xr3:uid="{7A0F8DA3-E646-42E4-B4AB-99551425DCD9}" name="triad_05_anno02"/>
    <tableColumn id="34" xr3:uid="{4F1B06FA-CF4C-476F-BB60-85FBF69F3EEF}" name="triad_06_anno01"/>
    <tableColumn id="35" xr3:uid="{83EDFB6F-7037-4028-B0FE-CF5AE54A8863}" name="triad_06_anno02"/>
    <tableColumn id="36" xr3:uid="{D9B52099-7384-4E9D-B06E-4EC8FDBF7B50}" name="triad_07_anno01"/>
    <tableColumn id="37" xr3:uid="{58551FE9-D0E6-4A41-9B4F-EBE0A5D44E0F}" name="triad_07_anno02"/>
    <tableColumn id="38" xr3:uid="{5F822D07-E9B5-4EE7-B3F6-3B5D5691B479}" name="triad_08_anno01"/>
    <tableColumn id="39" xr3:uid="{D6267ED7-2231-42A7-830F-2AAEDEE47039}" name="triad_08_anno02"/>
    <tableColumn id="40" xr3:uid="{AC926A3C-2DA3-46E4-9DD3-48FBFBFBF0A0}" name="triad_09_anno01"/>
    <tableColumn id="41" xr3:uid="{557308AF-D14F-4BF7-9BE5-050C35055461}" name="triad_09_anno02"/>
    <tableColumn id="42" xr3:uid="{B138F706-A9CA-44A9-98BD-6931A3447D5F}" name="triad_10_anno01"/>
    <tableColumn id="43" xr3:uid="{1B106B4B-E771-4EE5-9AFF-F437FE98C77E}" name="triad_10_anno02"/>
    <tableColumn id="44" xr3:uid="{15A2C667-2F42-4E3A-BB9F-58457B49F95D}" name="triad_11_anno01"/>
    <tableColumn id="45" xr3:uid="{5EF1E5D2-C959-473A-A99A-574965C4DA4B}" name="triad_11_anno02"/>
    <tableColumn id="46" xr3:uid="{081D7544-B56C-405F-8A6C-A0443AB26D3D}" name="triad_12_anno01"/>
    <tableColumn id="47" xr3:uid="{9FC221D9-7AC9-4BD5-8DDC-EE23573D02C3}" name="triad_12_anno02"/>
    <tableColumn id="48" xr3:uid="{F3A21C1C-6E79-4945-9905-2C8E1F80FDED}" name="triad_13_anno01"/>
    <tableColumn id="49" xr3:uid="{22ABF843-E589-43B9-8A77-89C3EE97CE67}" name="triad_13_anno02"/>
    <tableColumn id="50" xr3:uid="{11434BFD-97D8-4E18-8653-C44D2C54C080}" name="triad_14_anno01"/>
    <tableColumn id="51" xr3:uid="{C1FE268F-84EF-4461-828B-95EE1D0D63B6}" name="triad_14_anno0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9BD13F-7507-4723-90D8-F655472E5D85}" name="Table2" displayName="Table2" ref="A1:AY11" totalsRowShown="0">
  <autoFilter ref="A1:AY11" xr:uid="{8B9BD13F-7507-4723-90D8-F655472E5D85}"/>
  <sortState xmlns:xlrd2="http://schemas.microsoft.com/office/spreadsheetml/2017/richdata2" ref="A2:AY11">
    <sortCondition ref="A1:A11"/>
  </sortState>
  <tableColumns count="51">
    <tableColumn id="1" xr3:uid="{EF2B43FC-B148-4958-955A-24F59D9692B2}" name="task_eng"/>
    <tableColumn id="2" xr3:uid="{694207B6-7A81-43F2-8007-3C143D280EED}" name="dyad_01_anno01"/>
    <tableColumn id="3" xr3:uid="{8BDD326B-0907-40B8-A57E-D3A0177791D4}" name="dyad_01_anno02"/>
    <tableColumn id="4" xr3:uid="{0420D886-2B6A-4C76-8119-C958D597AC1A}" name="dyad_02_anno01"/>
    <tableColumn id="5" xr3:uid="{92774599-4874-4916-AB0F-CDCE3A4DC526}" name="dyad_02_anno02"/>
    <tableColumn id="6" xr3:uid="{F9E0B214-E207-4F34-928A-C8D2A89413E0}" name="dyad_03_anno01"/>
    <tableColumn id="7" xr3:uid="{A646026B-1607-4600-9427-E83AC0D32C9F}" name="dyad_03_anno02"/>
    <tableColumn id="8" xr3:uid="{02AB03F6-AEEE-444F-8D6D-A60D19545F6B}" name="dyad_04_anno01"/>
    <tableColumn id="9" xr3:uid="{E1E2364F-956D-4F56-9B22-E8C7F7EF5DB3}" name="dyad_04_anno02"/>
    <tableColumn id="10" xr3:uid="{50205926-20D3-48DD-BEB5-13DEF9C95B98}" name="dyad_05_anno01"/>
    <tableColumn id="11" xr3:uid="{0ED7D445-5A27-49F0-A5E6-4004ECA3C0A9}" name="dyad_05_anno02"/>
    <tableColumn id="12" xr3:uid="{AE486511-3F17-440C-B6CE-A80EC4C20829}" name="dyad_06_anno01"/>
    <tableColumn id="13" xr3:uid="{C0F39663-FC66-48EB-ACCA-6775F5ADB4D2}" name="dyad_06_anno02"/>
    <tableColumn id="14" xr3:uid="{5365758D-3C1B-43DC-817D-02E8207FB8A4}" name="dyad_07_anno01"/>
    <tableColumn id="15" xr3:uid="{3757116E-941A-43B2-B31D-8F93A6E8B56E}" name="dyad_07_anno02"/>
    <tableColumn id="16" xr3:uid="{4330825D-6B47-4A96-AF10-5FD95E71B38E}" name="dyad_08_anno01"/>
    <tableColumn id="17" xr3:uid="{4BA99E1A-C006-4CDE-B2C7-F75DCFE641AE}" name="dyad_08_anno02"/>
    <tableColumn id="18" xr3:uid="{D1D20B6C-9C53-4C26-8208-298E268384F0}" name="dyad_09_anno01"/>
    <tableColumn id="19" xr3:uid="{5785DD33-91D4-4AEB-A086-5AE6E93C0F75}" name="dyad_09_anno02"/>
    <tableColumn id="20" xr3:uid="{82A226A6-A269-4C64-975F-1DC21505DC91}" name="dyad_10_anno01"/>
    <tableColumn id="21" xr3:uid="{4A51699C-53A9-4D3F-9377-C57908025B96}" name="dyad_10_anno02"/>
    <tableColumn id="22" xr3:uid="{FA148BDD-7272-4506-9446-40376816CA4C}" name="dyad_11_anno01"/>
    <tableColumn id="23" xr3:uid="{D8F2BE4E-CFCB-4953-9376-2151A6D65E65}" name="dyad_11_anno02"/>
    <tableColumn id="24" xr3:uid="{21C3C291-E066-4EA4-A7B4-9C6BBF9F9196}" name="triad_01_anno01"/>
    <tableColumn id="25" xr3:uid="{4CABA6DF-B07E-415A-9E0A-0188F3A1DF1C}" name="triad_01_anno02"/>
    <tableColumn id="26" xr3:uid="{09C6FD30-D2FB-40F5-8B8E-6AF2538F6FF1}" name="triad_02_anno01"/>
    <tableColumn id="27" xr3:uid="{7004A2E6-C97D-4298-A547-27464143EDB1}" name="triad_02_anno02"/>
    <tableColumn id="28" xr3:uid="{12ACF033-3EA8-490E-84C0-A1453B854634}" name="triad_03_anno01"/>
    <tableColumn id="29" xr3:uid="{B6B681FD-AE39-4A5F-A828-E7051287931A}" name="triad_03_anno02"/>
    <tableColumn id="30" xr3:uid="{5DFFB97B-A28A-4DA2-A44C-4F125CFF596D}" name="triad_04_anno01"/>
    <tableColumn id="31" xr3:uid="{529ED5BD-CF70-4C30-B03B-5021BDF78E65}" name="triad_04_anno02"/>
    <tableColumn id="32" xr3:uid="{B80EFFC8-23BA-4187-B09E-8EE239B57DEC}" name="triad_05_anno01"/>
    <tableColumn id="33" xr3:uid="{ED9F50A9-72DB-41E8-9DBC-8FBD507445F2}" name="triad_05_anno02"/>
    <tableColumn id="34" xr3:uid="{F3FE70AC-B0D5-4A23-BCB1-6A38BE2F59EE}" name="triad_06_anno01"/>
    <tableColumn id="35" xr3:uid="{7D12026F-1104-4BF3-A73D-A45695E8562A}" name="triad_06_anno02"/>
    <tableColumn id="36" xr3:uid="{AB052A8A-96C1-45CA-B1B1-BCCE7DF4CB2A}" name="triad_07_anno01"/>
    <tableColumn id="37" xr3:uid="{269FEC62-F0CF-45E0-B403-FC0060E27A2A}" name="triad_07_anno02"/>
    <tableColumn id="38" xr3:uid="{8876FF70-567B-4D33-A0EF-D83CFFEFA0FC}" name="triad_08_anno01"/>
    <tableColumn id="39" xr3:uid="{4C10ABA6-198E-47C3-BC25-084ED264397B}" name="triad_08_anno02"/>
    <tableColumn id="40" xr3:uid="{FBE33867-DBFC-4A34-840F-EF72E3B7356F}" name="triad_09_anno01"/>
    <tableColumn id="41" xr3:uid="{DCB0D2BB-EF68-4AB7-B735-8812771DAF49}" name="triad_09_anno02"/>
    <tableColumn id="42" xr3:uid="{2D32EA50-15B7-4E75-B9AC-336D8CF93192}" name="triad_10_anno01"/>
    <tableColumn id="43" xr3:uid="{0644D05D-FB91-40D9-9EDC-28785758D874}" name="triad_10_anno02"/>
    <tableColumn id="44" xr3:uid="{E7A39DA1-36E1-4B06-9734-1B6046E1AB67}" name="triad_11_anno01"/>
    <tableColumn id="45" xr3:uid="{80CC9551-2C39-4075-833D-9B18ECE8E495}" name="triad_11_anno02"/>
    <tableColumn id="46" xr3:uid="{F9594BF0-9AAA-41C4-A042-1AB3902348D4}" name="triad_12_anno01"/>
    <tableColumn id="47" xr3:uid="{2EC7D1C7-009C-4733-81E5-01C00BEB2AFC}" name="triad_12_anno02"/>
    <tableColumn id="48" xr3:uid="{A391761F-1A3C-4C0C-8DF5-E9D719DB9A60}" name="triad_13_anno01"/>
    <tableColumn id="49" xr3:uid="{BE3FF671-233D-4CD6-85A1-AA9918D92649}" name="triad_13_anno02"/>
    <tableColumn id="50" xr3:uid="{EEEF7F2A-2128-479C-BF88-A59023F28435}" name="triad_14_anno01"/>
    <tableColumn id="51" xr3:uid="{94AC0C37-F483-41B9-ADA7-6F0B6DFA0722}" name="triad_14_anno0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2BCD6E-5062-4117-BA85-3DF567DF3170}" name="Table24" displayName="Table24" ref="BF1:DD11" totalsRowShown="0">
  <autoFilter ref="BF1:DD11" xr:uid="{572BCD6E-5062-4117-BA85-3DF567DF3170}"/>
  <sortState xmlns:xlrd2="http://schemas.microsoft.com/office/spreadsheetml/2017/richdata2" ref="BF2:DD11">
    <sortCondition ref="BF1:BF11"/>
  </sortState>
  <tableColumns count="51">
    <tableColumn id="1" xr3:uid="{8E274994-3D7E-435E-9E16-E3BB552BF347}" name="task_eng"/>
    <tableColumn id="2" xr3:uid="{7CF19C83-8324-4A4E-B4C7-5234E67128B7}" name="dyad_01_anno01"/>
    <tableColumn id="3" xr3:uid="{D4A56E71-2E6D-4045-BCA9-689D5E63BB1B}" name="dyad_01_anno02"/>
    <tableColumn id="4" xr3:uid="{A781C342-F40B-466F-8753-3EBDCB29EB98}" name="dyad_02_anno01"/>
    <tableColumn id="5" xr3:uid="{F57E0A53-758C-4466-82FA-236C8F8E3CE3}" name="dyad_02_anno02"/>
    <tableColumn id="6" xr3:uid="{106F89FC-44FE-4BC2-A760-1C5E8870E2F7}" name="dyad_03_anno01"/>
    <tableColumn id="7" xr3:uid="{D8752B4D-FBA1-4394-91EA-0589819FAFB7}" name="dyad_03_anno02"/>
    <tableColumn id="8" xr3:uid="{17310B0C-15BA-4597-9D4D-BC34D904B1C1}" name="dyad_04_anno01"/>
    <tableColumn id="9" xr3:uid="{C170AA8A-7CF0-4772-A32A-0AEF5FE80F90}" name="dyad_04_anno02"/>
    <tableColumn id="10" xr3:uid="{7BF5FFA7-3854-4F86-A18F-1CCCE60151D4}" name="dyad_05_anno01"/>
    <tableColumn id="11" xr3:uid="{805D7915-F200-45B2-9810-620DF1C7BBCB}" name="dyad_05_anno02"/>
    <tableColumn id="12" xr3:uid="{2CEE82F1-AA8B-499C-B854-FDD67028C7E4}" name="dyad_06_anno01"/>
    <tableColumn id="13" xr3:uid="{80F13CF6-79D2-4D4A-BA4F-86B7A93FE13F}" name="dyad_06_anno02"/>
    <tableColumn id="14" xr3:uid="{1BA3A5B7-1C76-4F51-9AD7-FC7DAB2CB049}" name="dyad_07_anno01"/>
    <tableColumn id="15" xr3:uid="{1622FCB1-0AB8-406B-B22F-952BD7E9BFB0}" name="dyad_07_anno02"/>
    <tableColumn id="16" xr3:uid="{8B9607EF-802C-49BC-88F1-6E67CC460885}" name="dyad_08_anno01"/>
    <tableColumn id="17" xr3:uid="{95E660E4-5E2F-4957-9B88-359D5D3962B4}" name="dyad_08_anno02"/>
    <tableColumn id="18" xr3:uid="{E8BA1A18-D343-4287-A082-EFB0A3880640}" name="dyad_09_anno01"/>
    <tableColumn id="19" xr3:uid="{3D0CC910-4D22-44FF-8340-AB343DE6C500}" name="dyad_09_anno02"/>
    <tableColumn id="20" xr3:uid="{B02C78E5-0B7F-4B3A-8A56-D4BFA2C1DCCF}" name="dyad_10_anno01"/>
    <tableColumn id="21" xr3:uid="{6F5F852A-620B-400A-890F-B7B566363CC6}" name="dyad_10_anno02"/>
    <tableColumn id="22" xr3:uid="{5B313C2B-D772-46C4-A1B6-A30DD23B20B4}" name="dyad_11_anno01"/>
    <tableColumn id="23" xr3:uid="{6AAB38E5-EF5E-434B-A8A3-4FA9DD7D2A3B}" name="dyad_11_anno02"/>
    <tableColumn id="24" xr3:uid="{E4CEA8FD-8086-4B44-9B92-7ABED0F8F90F}" name="triad_01_anno01"/>
    <tableColumn id="25" xr3:uid="{61A1DE5B-0066-488A-A75A-B95E427091D6}" name="triad_01_anno02"/>
    <tableColumn id="26" xr3:uid="{1A4B99FE-EFD5-4810-86B6-62CD8E65C0E4}" name="triad_02_anno01"/>
    <tableColumn id="27" xr3:uid="{4DF8183E-C918-43F4-97E5-B2ED4B7F6DFD}" name="triad_02_anno02"/>
    <tableColumn id="28" xr3:uid="{28B67F78-510B-4E15-B6A8-DAF290BFD0D3}" name="triad_03_anno01"/>
    <tableColumn id="29" xr3:uid="{076C3FBD-9E4E-4C67-8A75-F8EB40F17E0D}" name="triad_03_anno02"/>
    <tableColumn id="30" xr3:uid="{AA48D93A-B7BC-49B9-9BC7-AA49277F95F9}" name="triad_04_anno01"/>
    <tableColumn id="31" xr3:uid="{22954D81-0647-497A-B07A-EAC9C8E64858}" name="triad_04_anno02"/>
    <tableColumn id="32" xr3:uid="{A377FC85-1522-4879-A7FB-2D2C84186B88}" name="triad_05_anno01"/>
    <tableColumn id="33" xr3:uid="{2AF79196-231C-4348-8EDB-72717E18F155}" name="triad_05_anno02"/>
    <tableColumn id="34" xr3:uid="{EA9A79AB-8D54-4927-8D66-C658F465E2D6}" name="triad_06_anno01"/>
    <tableColumn id="35" xr3:uid="{BA590B5B-CD16-495B-9300-C0FA28B195F8}" name="triad_06_anno02"/>
    <tableColumn id="36" xr3:uid="{E1ABC410-BA42-4EA1-9AF7-594DB9426A40}" name="triad_07_anno01"/>
    <tableColumn id="37" xr3:uid="{F5F4BC9A-4CFD-406A-BC77-33E5E12DCDDF}" name="triad_07_anno02"/>
    <tableColumn id="38" xr3:uid="{4837E356-FDBE-4F0A-9995-7FFB35CF8819}" name="triad_08_anno01"/>
    <tableColumn id="39" xr3:uid="{4474E8C3-80E5-4538-B2C6-4C8CF9631F4B}" name="triad_08_anno02"/>
    <tableColumn id="40" xr3:uid="{8B647EF8-94F9-44FF-B8C6-FCE69A29C3C8}" name="triad_09_anno01"/>
    <tableColumn id="41" xr3:uid="{F93600B8-1269-437E-B553-FA9DDBE17048}" name="triad_09_anno02"/>
    <tableColumn id="42" xr3:uid="{A730509C-8E76-439B-AB8D-DE623F06F707}" name="triad_10_anno01"/>
    <tableColumn id="43" xr3:uid="{5A333B6D-2BE0-43C7-941C-D8D38BEF3968}" name="triad_10_anno02"/>
    <tableColumn id="44" xr3:uid="{B995F442-AF8D-4DA1-855E-B0F0F7EB8214}" name="triad_11_anno01"/>
    <tableColumn id="45" xr3:uid="{5083D3F5-93B8-4189-ABBE-1E5CD34FEB81}" name="triad_11_anno02"/>
    <tableColumn id="46" xr3:uid="{0FBAE40A-144B-4579-A3E9-BE3BF25C32F1}" name="triad_12_anno01"/>
    <tableColumn id="47" xr3:uid="{97C4ADFE-CE93-43A2-8FA9-2369E97144F0}" name="triad_12_anno02"/>
    <tableColumn id="48" xr3:uid="{7E9B5C77-AA60-4246-933D-6435722FCF19}" name="triad_13_anno01"/>
    <tableColumn id="49" xr3:uid="{EB2A5381-7D1F-443C-B26B-E411207B0837}" name="triad_13_anno02"/>
    <tableColumn id="50" xr3:uid="{C999E4B3-6A92-4734-BF8E-70FED63A89C5}" name="triad_14_anno01"/>
    <tableColumn id="51" xr3:uid="{BE58E3EC-9BD2-455F-BC70-5A0EB9246164}" name="triad_14_anno0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932E62-770E-4204-97FF-648A23F14B74}" name="Table245" displayName="Table245" ref="BF17:CE27" totalsRowShown="0">
  <autoFilter ref="BF17:CE27" xr:uid="{19932E62-770E-4204-97FF-648A23F14B74}"/>
  <sortState xmlns:xlrd2="http://schemas.microsoft.com/office/spreadsheetml/2017/richdata2" ref="BF18:CE27">
    <sortCondition ref="BF1:BF11"/>
  </sortState>
  <tableColumns count="26">
    <tableColumn id="1" xr3:uid="{131451C6-4E01-4C99-B010-467E568818F6}" name="task_eng"/>
    <tableColumn id="3" xr3:uid="{713AB5D4-25E1-4D86-BDD7-92ECEAC0EB63}" name="dyad_01_anno02"/>
    <tableColumn id="5" xr3:uid="{0D56DF71-0323-4C02-917F-B56A97888C92}" name="dyad_02_anno02"/>
    <tableColumn id="7" xr3:uid="{4D18F6CC-5566-48F8-8C55-B217CBDB209D}" name="dyad_03_anno02"/>
    <tableColumn id="9" xr3:uid="{2D6B45A6-ADA1-40E7-B5B9-8DB65D84E1D1}" name="dyad_04_anno02"/>
    <tableColumn id="11" xr3:uid="{767F93B0-3ACB-4811-9147-8883125A9ED2}" name="dyad_05_anno02"/>
    <tableColumn id="13" xr3:uid="{93A7525E-5A03-4FCD-B8BC-4DA05C2DA770}" name="dyad_06_anno02"/>
    <tableColumn id="15" xr3:uid="{3A8AD2AA-2EB5-48E9-8787-20506FBB2859}" name="dyad_07_anno02"/>
    <tableColumn id="17" xr3:uid="{E77814AA-F4B0-42F8-B644-14E138107107}" name="dyad_08_anno02"/>
    <tableColumn id="19" xr3:uid="{0957C0DB-A748-4B79-B4FF-6E093648C12E}" name="dyad_09_anno02"/>
    <tableColumn id="21" xr3:uid="{0C6E5846-52F8-470C-8732-6366292C09D9}" name="dyad_10_anno02"/>
    <tableColumn id="23" xr3:uid="{724AD850-B6FA-4EBF-BDF5-00D0F1DCB84B}" name="dyad_11_anno02"/>
    <tableColumn id="25" xr3:uid="{FBD42B91-2391-4E20-8C72-C1BC4FF231E4}" name="triad_01_anno02"/>
    <tableColumn id="27" xr3:uid="{FB5D4C91-2642-42C0-B945-0623CBC77125}" name="triad_02_anno02"/>
    <tableColumn id="29" xr3:uid="{48F5244A-15DF-4A9D-B56E-49136687A6A1}" name="triad_03_anno02"/>
    <tableColumn id="31" xr3:uid="{94301351-5936-4BE8-8D5B-4D6809273F54}" name="triad_04_anno02"/>
    <tableColumn id="33" xr3:uid="{FBE23FD8-6EDC-4173-8C49-4EEAD3174ECD}" name="triad_05_anno02"/>
    <tableColumn id="35" xr3:uid="{32F91A85-5B86-42D1-B313-C3E2B74FF2B7}" name="triad_06_anno02"/>
    <tableColumn id="37" xr3:uid="{F9552E99-5EB2-48AA-A020-77590BAF72B2}" name="triad_07_anno02"/>
    <tableColumn id="39" xr3:uid="{E106BEBF-4DA3-46F6-8841-EC837A36C8C5}" name="triad_08_anno02"/>
    <tableColumn id="41" xr3:uid="{B9AD36F7-E9E0-4239-9EA8-FE8D8F72D028}" name="triad_09_anno02"/>
    <tableColumn id="43" xr3:uid="{BD0861CE-8F6A-4015-88BC-7996C61AF40F}" name="triad_10_anno02"/>
    <tableColumn id="45" xr3:uid="{6F0FE7C1-3071-4694-A61F-A29A0FC1679E}" name="triad_11_anno02"/>
    <tableColumn id="47" xr3:uid="{DC688FBD-1D2A-42F3-B6F6-B7A308B97712}" name="triad_12_anno02"/>
    <tableColumn id="49" xr3:uid="{22C36728-A62B-416E-8AB1-493EA7A816DC}" name="triad_13_anno02"/>
    <tableColumn id="51" xr3:uid="{B40C0A05-F900-4746-9B23-3C6B0F8C432E}" name="triad_14_anno0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1AF335-BE9C-41E6-927D-8C1CDBF06C25}" name="Table5" displayName="Table5" ref="A1:AY4" totalsRowShown="0">
  <autoFilter ref="A1:AY4" xr:uid="{2F1AF335-BE9C-41E6-927D-8C1CDBF06C25}"/>
  <tableColumns count="51">
    <tableColumn id="1" xr3:uid="{FA44A002-4487-403B-B67B-4BA01D584059}" name="task_eng"/>
    <tableColumn id="2" xr3:uid="{80795396-0428-4E51-968E-B0E70845A037}" name="dyad_01_anno01"/>
    <tableColumn id="3" xr3:uid="{92D6A142-8A55-410A-AF7F-4A8785060F53}" name="dyad_01_anno02"/>
    <tableColumn id="4" xr3:uid="{C07BAEB0-4522-4602-951D-DB776F502DA9}" name="dyad_02_anno01"/>
    <tableColumn id="5" xr3:uid="{573B75E0-EE46-4788-A967-08C4439F6B74}" name="dyad_02_anno02"/>
    <tableColumn id="6" xr3:uid="{5E18B03D-DE40-4659-8231-0A86F5BED277}" name="dyad_03_anno01"/>
    <tableColumn id="7" xr3:uid="{96061D73-7D97-4FDC-819F-D2444199B9D3}" name="dyad_03_anno02"/>
    <tableColumn id="8" xr3:uid="{A47D0A62-8D84-4D70-BFCC-C239F5764578}" name="dyad_04_anno01"/>
    <tableColumn id="9" xr3:uid="{99D21C13-117D-473F-96FF-EE6E0ABFB9AE}" name="dyad_04_anno02"/>
    <tableColumn id="10" xr3:uid="{175BEC0E-48CB-47A6-825E-5B804B72AC33}" name="dyad_05_anno01"/>
    <tableColumn id="11" xr3:uid="{5DB3F8D6-BC13-4467-AC98-4D1DFB2B0F24}" name="dyad_05_anno02"/>
    <tableColumn id="12" xr3:uid="{B14B9BB9-683E-4869-BC43-1A5EA9AB1CAA}" name="dyad_06_anno01"/>
    <tableColumn id="13" xr3:uid="{488ECBD8-EDBB-4259-939D-E6943568983C}" name="dyad_06_anno02"/>
    <tableColumn id="14" xr3:uid="{70CA275E-6C35-4286-BC14-94CC4F809634}" name="dyad_07_anno01"/>
    <tableColumn id="15" xr3:uid="{358F8847-CD33-4E09-A148-5FB4913127B8}" name="dyad_07_anno02"/>
    <tableColumn id="16" xr3:uid="{CFB2F49C-3BF3-43AC-9DAF-4332FEE96E40}" name="dyad_08_anno01"/>
    <tableColumn id="17" xr3:uid="{C3193FB6-89EF-4836-89DD-46A1BB24DF60}" name="dyad_08_anno02"/>
    <tableColumn id="18" xr3:uid="{40AB845E-A237-4595-85D5-215ACAA4F7D4}" name="dyad_09_anno01"/>
    <tableColumn id="19" xr3:uid="{A28DA239-2C16-46A8-969A-113D91D1C2CE}" name="dyad_09_anno02"/>
    <tableColumn id="20" xr3:uid="{31E278B9-FB6E-4291-ABB0-E0A36F65E4F3}" name="dyad_10_anno01"/>
    <tableColumn id="21" xr3:uid="{215B7B48-02DF-4343-82FA-FCB86514C35E}" name="dyad_10_anno02"/>
    <tableColumn id="22" xr3:uid="{F32BE191-02D0-49F4-95F2-9A882B61F55A}" name="dyad_11_anno01"/>
    <tableColumn id="23" xr3:uid="{38DF2395-92A6-443A-8353-17C1AA1779A6}" name="dyad_11_anno02"/>
    <tableColumn id="24" xr3:uid="{C53E071F-A59A-4212-94E7-132830FE6A57}" name="triad_01_anno01"/>
    <tableColumn id="25" xr3:uid="{EC88B560-B041-4C23-BA9A-860654C922F5}" name="triad_01_anno02"/>
    <tableColumn id="26" xr3:uid="{26668FA4-80BD-4ED9-AB5A-1E7F50AFFF95}" name="triad_02_anno01"/>
    <tableColumn id="27" xr3:uid="{10AD3845-CC0D-4255-A916-B8C29DD011D2}" name="triad_02_anno02"/>
    <tableColumn id="28" xr3:uid="{B772DEC3-5A89-4E2C-918E-F5EF07151A38}" name="triad_03_anno01"/>
    <tableColumn id="29" xr3:uid="{387D18C9-FF8B-4DD4-BF1A-176DF6C09F53}" name="triad_03_anno02"/>
    <tableColumn id="30" xr3:uid="{77C87B00-A776-4A54-B4FD-53E082A09D26}" name="triad_04_anno01"/>
    <tableColumn id="31" xr3:uid="{035B8759-3D5B-480B-A040-652BA73FB171}" name="triad_04_anno02"/>
    <tableColumn id="32" xr3:uid="{B0FFD696-6FDD-41D9-9B75-BB963D6424A1}" name="triad_05_anno01"/>
    <tableColumn id="33" xr3:uid="{58B04F41-D18E-4DAE-83BE-9D6DD4264A2B}" name="triad_05_anno02"/>
    <tableColumn id="34" xr3:uid="{DD4CD57F-F36E-4070-A05D-211C18880816}" name="triad_06_anno01"/>
    <tableColumn id="35" xr3:uid="{192BB3C9-1A46-4D08-ADCE-A8182C931E76}" name="triad_06_anno02"/>
    <tableColumn id="36" xr3:uid="{522CC6B0-2E51-4106-8760-403EFF6F0610}" name="triad_07_anno01"/>
    <tableColumn id="37" xr3:uid="{EA20B2EB-C17E-4C24-BB91-29FE78B92383}" name="triad_07_anno02"/>
    <tableColumn id="38" xr3:uid="{586DEDB7-BFE6-44DF-A725-7FD2C840F2EF}" name="triad_08_anno01"/>
    <tableColumn id="39" xr3:uid="{9D1ECA2D-3CA3-4A83-B2EF-A32F376EBEA5}" name="triad_08_anno02"/>
    <tableColumn id="40" xr3:uid="{4E7696BD-F336-4FDD-8D82-C05D710DAD21}" name="triad_09_anno01"/>
    <tableColumn id="41" xr3:uid="{E6DB0D79-982C-4EB3-9536-0943585318B2}" name="triad_09_anno02"/>
    <tableColumn id="42" xr3:uid="{F2EF31AF-02D0-4DD3-B4B2-578C7E47172C}" name="triad_10_anno01"/>
    <tableColumn id="43" xr3:uid="{19E50B5A-4A31-47E4-BF87-BD488B2946B6}" name="triad_10_anno02"/>
    <tableColumn id="44" xr3:uid="{4B8A1D33-A9BA-466B-B23B-8A59D1CDA63E}" name="triad_11_anno01"/>
    <tableColumn id="45" xr3:uid="{E3640C3A-D438-42F3-B78B-3E1151BB94CB}" name="triad_11_anno02"/>
    <tableColumn id="46" xr3:uid="{668FCCA1-A61B-4812-BD68-476F89794E83}" name="triad_12_anno01"/>
    <tableColumn id="47" xr3:uid="{80320D00-CB68-4A1B-B5BB-5C0FAD54A411}" name="triad_12_anno02"/>
    <tableColumn id="48" xr3:uid="{397FDBDB-2145-4F0B-A981-C9F54DFA78BC}" name="triad_13_anno01"/>
    <tableColumn id="49" xr3:uid="{BBE75FCD-EE61-406C-B693-24BD8C05CE9A}" name="triad_13_anno02"/>
    <tableColumn id="50" xr3:uid="{A72876DC-B454-4519-9E91-F26D1B0BE059}" name="triad_14_anno01"/>
    <tableColumn id="51" xr3:uid="{76C054D2-C636-43FC-B237-541AE5CF3F1D}" name="triad_14_anno02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C2C227-83C2-456E-B0F3-DF58A3760A57}" name="Table6" displayName="Table6" ref="A1:AO4" totalsRowShown="0">
  <autoFilter ref="A1:AO4" xr:uid="{14C2C227-83C2-456E-B0F3-DF58A3760A57}"/>
  <tableColumns count="41">
    <tableColumn id="1" xr3:uid="{0921B5EC-A7F0-474D-9C23-4B7F4CD341DE}" name="task_eng"/>
    <tableColumn id="2" xr3:uid="{5981E633-E7B5-4E13-BEF9-33BB4738F82C}" name="dyad_02_anno01"/>
    <tableColumn id="3" xr3:uid="{5FEB605F-2ADE-4349-9157-612B8CCE5B6D}" name="dyad_02_anno02"/>
    <tableColumn id="4" xr3:uid="{920FCAC9-3DAE-40CC-AE37-0C77C997E7DB}" name="dyad_03_anno01"/>
    <tableColumn id="5" xr3:uid="{0E9AFEA4-596B-4B97-A989-7437B9BAC7CF}" name="dyad_03_anno02"/>
    <tableColumn id="6" xr3:uid="{BBB15B86-08AF-4F5E-8F59-64A3E8F6215E}" name="dyad_04_anno01"/>
    <tableColumn id="7" xr3:uid="{89F8F0B8-AD4A-4FEF-9E16-FBC5CAB912F7}" name="dyad_04_anno02"/>
    <tableColumn id="8" xr3:uid="{E70D5A0C-8CC8-4A05-BBE8-F98436A59055}" name="dyad_05_anno01"/>
    <tableColumn id="9" xr3:uid="{89B011F0-A759-4F17-A545-805D3184BD5F}" name="dyad_05_anno02"/>
    <tableColumn id="10" xr3:uid="{BC226E74-2074-457E-B76A-940E75581BFC}" name="dyad_06_anno01"/>
    <tableColumn id="11" xr3:uid="{7743632A-0ED2-48FD-8AE6-4C9B3044333F}" name="dyad_06_anno02"/>
    <tableColumn id="12" xr3:uid="{CCF29A52-D6A5-4864-A469-4789CBAB41C3}" name="dyad_07_anno01"/>
    <tableColumn id="13" xr3:uid="{2C2F277C-B205-4CCF-A084-A204896B2983}" name="dyad_07_anno02"/>
    <tableColumn id="14" xr3:uid="{29AA4CBD-C1C0-4040-986E-957AF4E3B20C}" name="dyad_10_anno01"/>
    <tableColumn id="15" xr3:uid="{992BB7C1-5B3C-4D16-A2F8-5A3E6BE0405B}" name="dyad_10_anno02"/>
    <tableColumn id="16" xr3:uid="{C4DAAF89-8B2C-4D10-B62F-7B9CA27E2A1D}" name="dyad_11_anno01"/>
    <tableColumn id="17" xr3:uid="{1C9C0E1B-89F5-4592-ADCF-C656E80B2520}" name="dyad_11_anno02"/>
    <tableColumn id="18" xr3:uid="{DB8A972E-F6B7-4E7F-B715-D06698F3D413}" name="triad_01_anno01"/>
    <tableColumn id="19" xr3:uid="{8AB924E4-3055-465E-87EC-C8BCA6DC2FCC}" name="triad_01_anno02"/>
    <tableColumn id="20" xr3:uid="{BFE07C73-7B52-40AA-9B26-64A48592AA74}" name="triad_02_anno01"/>
    <tableColumn id="21" xr3:uid="{68CA1866-D65E-4080-A1F5-90A58CCAC5BB}" name="triad_02_anno02"/>
    <tableColumn id="22" xr3:uid="{F1B8C747-1E95-4281-B2F4-2819ACB61976}" name="triad_05_anno01"/>
    <tableColumn id="23" xr3:uid="{910CABEE-C7AD-401E-A17E-39577CC2D945}" name="triad_05_anno02"/>
    <tableColumn id="24" xr3:uid="{E79951D9-6F39-4A22-8655-1D211AFD7C3F}" name="triad_06_anno01"/>
    <tableColumn id="25" xr3:uid="{BA6F795D-DCC3-4CA3-AA24-28CA336D581D}" name="triad_06_anno02"/>
    <tableColumn id="26" xr3:uid="{E22911E0-B518-46E7-8D79-A4AECBBDF78F}" name="triad_07_anno01"/>
    <tableColumn id="27" xr3:uid="{3B517794-54FF-4FC9-8352-BF3A480D7A68}" name="triad_07_anno02"/>
    <tableColumn id="28" xr3:uid="{9E668EAC-F526-4146-BC3A-6B3F8EE5D3A7}" name="triad_08_anno01"/>
    <tableColumn id="29" xr3:uid="{9A2C6D39-9723-4E91-8B4F-B881E5652BD1}" name="triad_08_anno02"/>
    <tableColumn id="30" xr3:uid="{98404BE4-0905-41AC-9B36-D73676C4DE55}" name="triad_09_anno01"/>
    <tableColumn id="31" xr3:uid="{D66E3A08-2841-4C7B-8E61-8BDE29E2C44E}" name="triad_09_anno02"/>
    <tableColumn id="32" xr3:uid="{D60F7A15-3072-4905-A07C-CD75F663ECF4}" name="triad_10_anno01"/>
    <tableColumn id="33" xr3:uid="{AF35407B-CD09-412F-892C-EDF32537B7D3}" name="triad_10_anno02"/>
    <tableColumn id="34" xr3:uid="{2B8F1CA4-A301-46DE-A8CA-305DF52E86A8}" name="triad_11_anno01"/>
    <tableColumn id="35" xr3:uid="{B6F05E36-48A7-4109-A324-8200E4E5AF2F}" name="triad_11_anno02"/>
    <tableColumn id="36" xr3:uid="{6E62DC35-5900-4061-8DC7-52A847316BD5}" name="triad_12_anno01"/>
    <tableColumn id="37" xr3:uid="{9FFD8BF7-E93D-47A0-8310-E503569670E5}" name="triad_12_anno02"/>
    <tableColumn id="38" xr3:uid="{4699FF53-6165-4972-9D09-98DB7CD800D6}" name="triad_13_anno01"/>
    <tableColumn id="39" xr3:uid="{1B61BA44-28AA-4011-AB77-8EC462BBEFCC}" name="triad_13_anno02"/>
    <tableColumn id="40" xr3:uid="{98A4D2D9-F8DC-47F9-8F60-37376A5D7A94}" name="triad_14_anno01"/>
    <tableColumn id="41" xr3:uid="{82699084-8F64-4016-9B3D-89C0536F3E0A}" name="triad_14_anno0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2176-71D9-4829-AFAB-5897C7E7906A}">
  <dimension ref="A1:AY4"/>
  <sheetViews>
    <sheetView topLeftCell="L34" zoomScale="110" zoomScaleNormal="110" workbookViewId="0">
      <selection activeCell="H32" sqref="H32"/>
    </sheetView>
  </sheetViews>
  <sheetFormatPr defaultRowHeight="14.5" x14ac:dyDescent="0.35"/>
  <cols>
    <col min="1" max="1" width="10" customWidth="1"/>
    <col min="2" max="23" width="16.26953125" customWidth="1"/>
    <col min="24" max="51" width="16.17968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>
        <v>0.69790045944610202</v>
      </c>
      <c r="C2">
        <v>1.7078215665098501E-2</v>
      </c>
      <c r="D2">
        <v>0.47961134477407102</v>
      </c>
      <c r="E2">
        <v>0</v>
      </c>
      <c r="F2">
        <v>0.74818318506452797</v>
      </c>
      <c r="G2">
        <v>0</v>
      </c>
      <c r="H2">
        <v>0.66684062557869395</v>
      </c>
      <c r="I2">
        <v>0.144879715829699</v>
      </c>
      <c r="J2">
        <v>0.43899452362325198</v>
      </c>
      <c r="K2">
        <v>0.149256777441409</v>
      </c>
      <c r="L2">
        <v>0.92854612515368096</v>
      </c>
      <c r="M2">
        <v>0.415991164641897</v>
      </c>
      <c r="N2">
        <v>0.695354742861091</v>
      </c>
      <c r="O2">
        <v>6.9791144816625406E-2</v>
      </c>
      <c r="P2">
        <v>0.355864269062453</v>
      </c>
      <c r="Q2">
        <v>1.50645526305026E-2</v>
      </c>
      <c r="R2">
        <v>0.123857234751759</v>
      </c>
      <c r="S2">
        <v>0</v>
      </c>
      <c r="T2">
        <v>0.116140428350629</v>
      </c>
      <c r="U2">
        <v>0</v>
      </c>
      <c r="V2">
        <v>0.60213659380017204</v>
      </c>
      <c r="W2" s="1">
        <v>4.1167510600633898E-5</v>
      </c>
      <c r="X2">
        <v>0.43328185212397402</v>
      </c>
      <c r="Y2">
        <v>0</v>
      </c>
      <c r="Z2">
        <v>0.79845533254624101</v>
      </c>
      <c r="AA2">
        <v>1.323297914207E-2</v>
      </c>
      <c r="AB2">
        <v>0.68654487167811096</v>
      </c>
      <c r="AC2">
        <v>0</v>
      </c>
      <c r="AD2">
        <v>0.68512138841041303</v>
      </c>
      <c r="AE2">
        <v>0</v>
      </c>
      <c r="AF2">
        <v>0.63778406624884898</v>
      </c>
      <c r="AG2">
        <v>0</v>
      </c>
      <c r="AH2">
        <v>0.71398762283533301</v>
      </c>
      <c r="AI2">
        <v>2.6751796829020298E-3</v>
      </c>
      <c r="AJ2">
        <v>0.35741104952619301</v>
      </c>
      <c r="AK2">
        <v>0</v>
      </c>
      <c r="AL2">
        <v>6.3156048068769899E-2</v>
      </c>
      <c r="AM2">
        <v>0</v>
      </c>
      <c r="AN2">
        <v>0.69235877004801305</v>
      </c>
      <c r="AO2">
        <v>6.2059454489733299E-3</v>
      </c>
      <c r="AP2">
        <v>0.32977909011373502</v>
      </c>
      <c r="AQ2">
        <v>0</v>
      </c>
      <c r="AR2">
        <v>0.21420744199342501</v>
      </c>
      <c r="AS2">
        <v>0</v>
      </c>
      <c r="AT2">
        <v>0.72785443888142598</v>
      </c>
      <c r="AU2">
        <v>0</v>
      </c>
      <c r="AV2">
        <v>0.69873102402570397</v>
      </c>
      <c r="AW2" s="1">
        <v>1.8050867344175799E-5</v>
      </c>
      <c r="AX2">
        <v>0.55135905721345702</v>
      </c>
      <c r="AY2">
        <v>0</v>
      </c>
    </row>
    <row r="3" spans="1:51" x14ac:dyDescent="0.35">
      <c r="A3" t="s">
        <v>53</v>
      </c>
      <c r="B3">
        <v>0.15031758525379299</v>
      </c>
      <c r="C3">
        <v>0.65060130695026597</v>
      </c>
      <c r="D3">
        <v>0.14992915139110599</v>
      </c>
      <c r="E3">
        <v>0.463147477564607</v>
      </c>
      <c r="F3">
        <v>0.143731988472622</v>
      </c>
      <c r="G3">
        <v>0.83383974439293296</v>
      </c>
      <c r="H3">
        <v>0.13700106058820499</v>
      </c>
      <c r="I3">
        <v>0.56192656689281295</v>
      </c>
      <c r="J3">
        <v>0.30067349229565599</v>
      </c>
      <c r="K3">
        <v>0.42270145243035401</v>
      </c>
      <c r="L3">
        <v>1.1044197628623201E-2</v>
      </c>
      <c r="M3">
        <v>0.53249703056950504</v>
      </c>
      <c r="N3">
        <v>0.110888455093544</v>
      </c>
      <c r="O3">
        <v>0.70364676006702698</v>
      </c>
      <c r="P3">
        <v>0.46749192240051202</v>
      </c>
      <c r="Q3">
        <v>0.25312538343035501</v>
      </c>
      <c r="R3">
        <v>0.25069686750745601</v>
      </c>
      <c r="S3">
        <v>3.6646459133350198E-3</v>
      </c>
      <c r="T3">
        <v>0.22885846765290299</v>
      </c>
      <c r="U3">
        <v>0.16824906160300199</v>
      </c>
      <c r="V3">
        <v>0.34173150549586201</v>
      </c>
      <c r="W3">
        <v>0.33086328269729498</v>
      </c>
      <c r="X3">
        <v>0.132581607713184</v>
      </c>
      <c r="Y3">
        <v>0.42942825868557899</v>
      </c>
      <c r="Z3">
        <v>4.01908697363242E-2</v>
      </c>
      <c r="AA3">
        <v>0.83183293978748496</v>
      </c>
      <c r="AB3">
        <v>8.6555800440793404E-2</v>
      </c>
      <c r="AC3">
        <v>0.52660242982823602</v>
      </c>
      <c r="AD3">
        <v>0.16477623582176801</v>
      </c>
      <c r="AE3">
        <v>0.73385550391627896</v>
      </c>
      <c r="AF3">
        <v>0.28904012083123498</v>
      </c>
      <c r="AG3">
        <v>0.19338205933924699</v>
      </c>
      <c r="AH3">
        <v>0.20964491448342201</v>
      </c>
      <c r="AI3">
        <v>0.65326104403345697</v>
      </c>
      <c r="AJ3">
        <v>0.218027636586549</v>
      </c>
      <c r="AK3">
        <v>0.142167505299992</v>
      </c>
      <c r="AL3">
        <v>0.15169147100961899</v>
      </c>
      <c r="AM3">
        <v>8.8886289874564994E-3</v>
      </c>
      <c r="AN3">
        <v>0.22900704872816399</v>
      </c>
      <c r="AO3">
        <v>0.74989784451935804</v>
      </c>
      <c r="AP3">
        <v>0.33970363079615001</v>
      </c>
      <c r="AQ3">
        <v>0.21926946631670999</v>
      </c>
      <c r="AR3">
        <v>0.71232550383534199</v>
      </c>
      <c r="AS3">
        <v>0.10138644051646099</v>
      </c>
      <c r="AT3">
        <v>0.20410306508731199</v>
      </c>
      <c r="AU3">
        <v>0.41164977408719</v>
      </c>
      <c r="AV3">
        <v>0.26164732215382902</v>
      </c>
      <c r="AW3">
        <v>0.240491705626455</v>
      </c>
      <c r="AX3">
        <v>0.36618513590572099</v>
      </c>
      <c r="AY3">
        <v>0.64521954001140402</v>
      </c>
    </row>
    <row r="4" spans="1:51" x14ac:dyDescent="0.35">
      <c r="A4" t="s">
        <v>52</v>
      </c>
      <c r="B4">
        <v>0.15178195530010399</v>
      </c>
      <c r="C4">
        <v>0.32433966063224101</v>
      </c>
      <c r="D4">
        <v>0.37045950383482101</v>
      </c>
      <c r="E4">
        <v>0.43788938620363899</v>
      </c>
      <c r="F4">
        <v>0.108069164265129</v>
      </c>
      <c r="G4">
        <v>0.166128931211627</v>
      </c>
      <c r="H4">
        <v>0.19615831383310001</v>
      </c>
      <c r="I4">
        <v>0.293193717277486</v>
      </c>
      <c r="J4">
        <v>0.25801898023742298</v>
      </c>
      <c r="K4">
        <v>0.420881662641586</v>
      </c>
      <c r="L4">
        <v>6.0388839108962401E-2</v>
      </c>
      <c r="M4">
        <v>5.1220071266331803E-2</v>
      </c>
      <c r="N4">
        <v>0.19373952700951799</v>
      </c>
      <c r="O4">
        <v>0.21787275208595999</v>
      </c>
      <c r="P4">
        <v>0.17664380853703401</v>
      </c>
      <c r="Q4">
        <v>0.69885891126228605</v>
      </c>
      <c r="R4">
        <v>0.62544589774078396</v>
      </c>
      <c r="S4">
        <v>0.94204791329603699</v>
      </c>
      <c r="T4">
        <v>0.65381430779421501</v>
      </c>
      <c r="U4">
        <v>0.53850187679399397</v>
      </c>
      <c r="V4">
        <v>5.6131900703964399E-2</v>
      </c>
      <c r="W4">
        <v>0.65760981433452703</v>
      </c>
      <c r="X4">
        <v>0.42654930950203102</v>
      </c>
      <c r="Y4">
        <v>0.55571216505975296</v>
      </c>
      <c r="Z4">
        <v>0.16135379771743399</v>
      </c>
      <c r="AA4">
        <v>0.15493408107044401</v>
      </c>
      <c r="AB4">
        <v>0.22689932788109499</v>
      </c>
      <c r="AC4">
        <v>0.47330649714941397</v>
      </c>
      <c r="AD4">
        <v>0.15010237576781801</v>
      </c>
      <c r="AE4">
        <v>0.23382300367252701</v>
      </c>
      <c r="AF4">
        <v>7.3175812919914499E-2</v>
      </c>
      <c r="AG4">
        <v>0.46933212965052601</v>
      </c>
      <c r="AH4">
        <v>7.6367462681243406E-2</v>
      </c>
      <c r="AI4">
        <v>0.33065220880669099</v>
      </c>
      <c r="AJ4">
        <v>0.42456131388725699</v>
      </c>
      <c r="AK4">
        <v>0.70496283619830902</v>
      </c>
      <c r="AL4">
        <v>0.78515248092161005</v>
      </c>
      <c r="AM4">
        <v>0.97105347796847996</v>
      </c>
      <c r="AN4">
        <v>7.8608642353662203E-2</v>
      </c>
      <c r="AO4">
        <v>0.24384513229134699</v>
      </c>
      <c r="AP4">
        <v>0.33051727909011303</v>
      </c>
      <c r="AQ4">
        <v>0.749234470691163</v>
      </c>
      <c r="AR4">
        <v>7.3467054171232504E-2</v>
      </c>
      <c r="AS4">
        <v>0.89861355948353905</v>
      </c>
      <c r="AT4">
        <v>6.8042496031261404E-2</v>
      </c>
      <c r="AU4">
        <v>0.58063255586762696</v>
      </c>
      <c r="AV4">
        <v>3.9621653820466E-2</v>
      </c>
      <c r="AW4">
        <v>0.75230599830321798</v>
      </c>
      <c r="AX4">
        <v>8.2455806880821103E-2</v>
      </c>
      <c r="AY4">
        <v>0.33835772666793301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BDCC-00BE-45B5-BF55-7C28F6038C71}">
  <dimension ref="A1:DD27"/>
  <sheetViews>
    <sheetView showWhiteSpace="0" topLeftCell="CD9" zoomScale="178" zoomScaleNormal="178" workbookViewId="0">
      <selection activeCell="CG23" sqref="CG23"/>
    </sheetView>
  </sheetViews>
  <sheetFormatPr defaultRowHeight="14.5" x14ac:dyDescent="0.35"/>
  <cols>
    <col min="1" max="1" width="9.7265625" customWidth="1"/>
    <col min="2" max="23" width="15.90625" customWidth="1"/>
    <col min="24" max="51" width="15.81640625" customWidth="1"/>
  </cols>
  <sheetData>
    <row r="1" spans="1:10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BF1" t="s">
        <v>0</v>
      </c>
      <c r="BG1" t="s">
        <v>1</v>
      </c>
      <c r="BH1" t="s">
        <v>2</v>
      </c>
      <c r="BI1" t="s">
        <v>3</v>
      </c>
      <c r="BJ1" t="s">
        <v>4</v>
      </c>
      <c r="BK1" t="s">
        <v>5</v>
      </c>
      <c r="BL1" t="s">
        <v>6</v>
      </c>
      <c r="BM1" t="s">
        <v>7</v>
      </c>
      <c r="BN1" t="s">
        <v>8</v>
      </c>
      <c r="BO1" t="s">
        <v>9</v>
      </c>
      <c r="BP1" t="s">
        <v>10</v>
      </c>
      <c r="BQ1" t="s">
        <v>11</v>
      </c>
      <c r="BR1" t="s">
        <v>12</v>
      </c>
      <c r="BS1" t="s">
        <v>13</v>
      </c>
      <c r="BT1" t="s">
        <v>14</v>
      </c>
      <c r="BU1" t="s">
        <v>15</v>
      </c>
      <c r="BV1" t="s">
        <v>16</v>
      </c>
      <c r="BW1" t="s">
        <v>17</v>
      </c>
      <c r="BX1" t="s">
        <v>18</v>
      </c>
      <c r="BY1" t="s">
        <v>19</v>
      </c>
      <c r="BZ1" t="s">
        <v>20</v>
      </c>
      <c r="CA1" t="s">
        <v>21</v>
      </c>
      <c r="CB1" t="s">
        <v>22</v>
      </c>
      <c r="CC1" t="s">
        <v>23</v>
      </c>
      <c r="CD1" t="s">
        <v>24</v>
      </c>
      <c r="CE1" t="s">
        <v>25</v>
      </c>
      <c r="CF1" t="s">
        <v>26</v>
      </c>
      <c r="CG1" t="s">
        <v>27</v>
      </c>
      <c r="CH1" t="s">
        <v>28</v>
      </c>
      <c r="CI1" t="s">
        <v>29</v>
      </c>
      <c r="CJ1" t="s">
        <v>30</v>
      </c>
      <c r="CK1" t="s">
        <v>31</v>
      </c>
      <c r="CL1" t="s">
        <v>32</v>
      </c>
      <c r="CM1" t="s">
        <v>33</v>
      </c>
      <c r="CN1" t="s">
        <v>34</v>
      </c>
      <c r="CO1" t="s">
        <v>35</v>
      </c>
      <c r="CP1" t="s">
        <v>36</v>
      </c>
      <c r="CQ1" t="s">
        <v>37</v>
      </c>
      <c r="CR1" t="s">
        <v>38</v>
      </c>
      <c r="CS1" t="s">
        <v>39</v>
      </c>
      <c r="CT1" t="s">
        <v>40</v>
      </c>
      <c r="CU1" t="s">
        <v>41</v>
      </c>
      <c r="CV1" t="s">
        <v>42</v>
      </c>
      <c r="CW1" t="s">
        <v>43</v>
      </c>
      <c r="CX1" t="s">
        <v>44</v>
      </c>
      <c r="CY1" t="s">
        <v>45</v>
      </c>
      <c r="CZ1" t="s">
        <v>46</v>
      </c>
      <c r="DA1" t="s">
        <v>47</v>
      </c>
      <c r="DB1" t="s">
        <v>48</v>
      </c>
      <c r="DC1" t="s">
        <v>49</v>
      </c>
      <c r="DD1" t="s">
        <v>50</v>
      </c>
    </row>
    <row r="2" spans="1:108" x14ac:dyDescent="0.35">
      <c r="A2" t="s">
        <v>63</v>
      </c>
      <c r="B2">
        <v>1.6895169409309699E-2</v>
      </c>
      <c r="C2">
        <v>0.25705185700426397</v>
      </c>
      <c r="D2">
        <v>0.18890713209329499</v>
      </c>
      <c r="E2">
        <v>0.29767661546073998</v>
      </c>
      <c r="F2">
        <v>2.6766695902768999E-2</v>
      </c>
      <c r="G2">
        <v>2.4527001628868499E-2</v>
      </c>
      <c r="H2">
        <v>0.15033416945842601</v>
      </c>
      <c r="I2">
        <v>0.19363310381980101</v>
      </c>
      <c r="J2">
        <v>0.218153678696554</v>
      </c>
      <c r="K2">
        <v>0.194054219531276</v>
      </c>
      <c r="L2">
        <v>5.3137177269790899E-2</v>
      </c>
      <c r="M2">
        <v>4.8240221717476897E-2</v>
      </c>
      <c r="N2">
        <v>0.16889802546340199</v>
      </c>
      <c r="O2">
        <v>0.11942232280131899</v>
      </c>
      <c r="P2">
        <v>0.151395345666725</v>
      </c>
      <c r="Q2">
        <v>0.19957464792572699</v>
      </c>
      <c r="R2">
        <v>0.55607103175376604</v>
      </c>
      <c r="S2">
        <v>0.74265608857527099</v>
      </c>
      <c r="T2">
        <v>0.64354714064914997</v>
      </c>
      <c r="U2">
        <v>0.31223780083903702</v>
      </c>
      <c r="V2">
        <v>4.9339261454859798E-2</v>
      </c>
      <c r="W2">
        <v>6.5868016961014297E-2</v>
      </c>
      <c r="X2">
        <v>0.42062647133796099</v>
      </c>
      <c r="Y2">
        <v>0.432052300910167</v>
      </c>
      <c r="Z2">
        <v>0.159287682014954</v>
      </c>
      <c r="AA2">
        <v>0.13144431326249501</v>
      </c>
      <c r="AB2">
        <v>0.21169013314875801</v>
      </c>
      <c r="AC2">
        <v>0.394036538496566</v>
      </c>
      <c r="AD2">
        <v>0.141294809711072</v>
      </c>
      <c r="AE2">
        <v>0.123809678572589</v>
      </c>
      <c r="AF2">
        <v>6.6925921424975193E-2</v>
      </c>
      <c r="AG2">
        <v>0.20732278953490299</v>
      </c>
      <c r="AH2">
        <v>5.79265574004387E-2</v>
      </c>
      <c r="AI2">
        <v>7.6082110181733803E-2</v>
      </c>
      <c r="AJ2">
        <v>0.41127940537917201</v>
      </c>
      <c r="AK2">
        <v>0.27731092436974702</v>
      </c>
      <c r="AL2">
        <v>0.77541592351100797</v>
      </c>
      <c r="AM2">
        <v>0.85132013683810404</v>
      </c>
      <c r="AN2">
        <v>7.3654101542547701E-2</v>
      </c>
      <c r="AO2">
        <v>7.0282970681376997E-2</v>
      </c>
      <c r="AP2">
        <v>0.30208333333333298</v>
      </c>
      <c r="AQ2">
        <v>0.327564523184601</v>
      </c>
      <c r="AR2">
        <v>5.4742960598408601E-2</v>
      </c>
      <c r="AS2">
        <v>6.1413121158702101E-2</v>
      </c>
      <c r="AT2">
        <v>5.3193308096226598E-2</v>
      </c>
      <c r="AU2">
        <v>8.7116864085968901E-2</v>
      </c>
      <c r="AV2">
        <v>3.6859871116807101E-2</v>
      </c>
      <c r="AW2">
        <v>0.120760302532536</v>
      </c>
      <c r="AX2">
        <v>3.14769055312678E-2</v>
      </c>
      <c r="AY2">
        <v>0.11149971488310199</v>
      </c>
      <c r="BF2" t="s">
        <v>63</v>
      </c>
      <c r="BG2">
        <v>1.6895169409309699E-2</v>
      </c>
      <c r="BH2">
        <v>0.25705185700426397</v>
      </c>
      <c r="BI2">
        <v>0.18890713209329499</v>
      </c>
      <c r="BJ2">
        <v>0.29767661546073998</v>
      </c>
      <c r="BK2">
        <v>2.6766695902768999E-2</v>
      </c>
      <c r="BL2">
        <v>2.4527001628868499E-2</v>
      </c>
      <c r="BM2">
        <v>0.15033416945842601</v>
      </c>
      <c r="BN2">
        <v>0.19363310381980101</v>
      </c>
      <c r="BO2">
        <v>0.218153678696554</v>
      </c>
      <c r="BP2">
        <v>0.194054219531276</v>
      </c>
      <c r="BQ2">
        <v>5.3137177269790899E-2</v>
      </c>
      <c r="BR2">
        <v>4.8240221717476897E-2</v>
      </c>
      <c r="BS2">
        <v>0.16889802546340199</v>
      </c>
      <c r="BT2">
        <v>0.11942232280131899</v>
      </c>
      <c r="BU2">
        <v>0.151395345666725</v>
      </c>
      <c r="BV2">
        <v>0.19957464792572699</v>
      </c>
      <c r="BW2">
        <v>0.55607103175376604</v>
      </c>
      <c r="BX2">
        <v>0.74265608857527099</v>
      </c>
      <c r="BY2">
        <v>0.64354714064914997</v>
      </c>
      <c r="BZ2">
        <v>0.31223780083903702</v>
      </c>
      <c r="CA2">
        <v>4.9339261454859798E-2</v>
      </c>
      <c r="CB2">
        <v>6.5868016961014297E-2</v>
      </c>
      <c r="CC2">
        <v>0.42062647133796099</v>
      </c>
      <c r="CD2">
        <v>0.432052300910167</v>
      </c>
      <c r="CE2">
        <v>0.159287682014954</v>
      </c>
      <c r="CF2">
        <v>0.13144431326249501</v>
      </c>
      <c r="CG2">
        <v>0.21169013314875801</v>
      </c>
      <c r="CH2">
        <v>0.394036538496566</v>
      </c>
      <c r="CI2">
        <v>0.141294809711072</v>
      </c>
      <c r="CJ2">
        <v>0.123809678572589</v>
      </c>
      <c r="CK2">
        <v>6.6925921424975193E-2</v>
      </c>
      <c r="CL2">
        <v>0.20732278953490299</v>
      </c>
      <c r="CM2">
        <v>5.79265574004387E-2</v>
      </c>
      <c r="CN2">
        <v>7.6082110181733803E-2</v>
      </c>
      <c r="CO2">
        <v>0.41127940537917201</v>
      </c>
      <c r="CP2">
        <v>0.27731092436974702</v>
      </c>
      <c r="CQ2">
        <v>0.77541592351100797</v>
      </c>
      <c r="CR2">
        <v>0.85132013683810404</v>
      </c>
      <c r="CS2">
        <v>7.3654101542547701E-2</v>
      </c>
      <c r="CT2">
        <v>7.0282970681376997E-2</v>
      </c>
      <c r="CU2">
        <v>0.30208333333333298</v>
      </c>
      <c r="CV2">
        <v>0.327564523184601</v>
      </c>
      <c r="CW2">
        <v>5.4742960598408601E-2</v>
      </c>
      <c r="CX2">
        <v>6.1413121158702101E-2</v>
      </c>
      <c r="CY2">
        <v>5.3193308096226598E-2</v>
      </c>
      <c r="CZ2">
        <v>8.7116864085968901E-2</v>
      </c>
      <c r="DA2">
        <v>3.6859871116807101E-2</v>
      </c>
      <c r="DB2">
        <v>0.120760302532536</v>
      </c>
      <c r="DC2">
        <v>3.14769055312678E-2</v>
      </c>
      <c r="DD2">
        <v>0.11149971488310199</v>
      </c>
    </row>
    <row r="3" spans="1:108" x14ac:dyDescent="0.35">
      <c r="A3" t="s">
        <v>58</v>
      </c>
      <c r="B3">
        <v>4.42239753985832E-2</v>
      </c>
      <c r="C3">
        <v>4.1038970547857399E-2</v>
      </c>
      <c r="D3">
        <v>0.15199838060322499</v>
      </c>
      <c r="E3">
        <v>0.111176086907626</v>
      </c>
      <c r="F3">
        <v>5.3611702794135997E-2</v>
      </c>
      <c r="G3">
        <v>6.7566720962285401E-2</v>
      </c>
      <c r="H3">
        <v>3.68007272604838E-2</v>
      </c>
      <c r="I3">
        <v>4.5201259238059899E-2</v>
      </c>
      <c r="J3">
        <v>1.6871322153814702E-2</v>
      </c>
      <c r="K3">
        <v>6.9917344127351205E-2</v>
      </c>
      <c r="L3">
        <v>3.75085957198524E-3</v>
      </c>
      <c r="M3">
        <v>9.7939111046281405E-4</v>
      </c>
      <c r="N3">
        <v>8.9484685680722795E-3</v>
      </c>
      <c r="O3">
        <v>2.3355848463385499E-2</v>
      </c>
      <c r="P3">
        <v>1.7436708429332901E-2</v>
      </c>
      <c r="Q3">
        <v>0.13724420934956499</v>
      </c>
      <c r="R3">
        <v>1.7426560885752701E-2</v>
      </c>
      <c r="S3">
        <v>0.15077678797684199</v>
      </c>
      <c r="T3">
        <v>5.2439832192536897E-3</v>
      </c>
      <c r="U3">
        <v>3.6266283947891297E-2</v>
      </c>
      <c r="V3">
        <v>3.2316495821497599E-3</v>
      </c>
      <c r="W3">
        <v>8.3034868881478693E-2</v>
      </c>
      <c r="X3">
        <v>3.2388178314915E-3</v>
      </c>
      <c r="Y3">
        <v>8.8017873476181202E-3</v>
      </c>
      <c r="Z3">
        <v>9.1007477371113702E-4</v>
      </c>
      <c r="AA3">
        <v>1.5003935458480901E-3</v>
      </c>
      <c r="AB3">
        <v>4.42614888617693E-3</v>
      </c>
      <c r="AC3">
        <v>1.6648148485455601E-2</v>
      </c>
      <c r="AD3">
        <v>4.3225324189931401E-3</v>
      </c>
      <c r="AE3">
        <v>2.49114368357762E-2</v>
      </c>
      <c r="AF3">
        <v>3.09022412805333E-3</v>
      </c>
      <c r="AG3">
        <v>0.13315741046162299</v>
      </c>
      <c r="AH3">
        <v>7.0981434253000603E-3</v>
      </c>
      <c r="AI3">
        <v>3.8183731340621703E-2</v>
      </c>
      <c r="AJ3">
        <v>6.8197491762662498E-3</v>
      </c>
      <c r="AK3">
        <v>0.24563868100431599</v>
      </c>
      <c r="AL3">
        <v>3.71334171515452E-3</v>
      </c>
      <c r="AM3">
        <v>0.11327154176778401</v>
      </c>
      <c r="AN3">
        <v>1.9920318725099601E-3</v>
      </c>
      <c r="AO3">
        <v>2.7147818980488299E-2</v>
      </c>
      <c r="AP3">
        <v>1.57206911636045E-2</v>
      </c>
      <c r="AQ3">
        <v>8.2513123359579998E-2</v>
      </c>
      <c r="AR3">
        <v>1.14345609605031E-3</v>
      </c>
      <c r="AS3">
        <v>0.256801181571299</v>
      </c>
      <c r="AT3">
        <v>4.6403712296983699E-4</v>
      </c>
      <c r="AU3">
        <v>0.19789962144339901</v>
      </c>
      <c r="AV3">
        <v>9.56695969241322E-4</v>
      </c>
      <c r="AW3">
        <v>0.110742071156519</v>
      </c>
      <c r="AX3">
        <v>3.02604067667743E-2</v>
      </c>
      <c r="AY3">
        <v>6.8561110055122595E-2</v>
      </c>
      <c r="BF3" t="s">
        <v>58</v>
      </c>
      <c r="BG3">
        <v>4.42239753985832E-2</v>
      </c>
      <c r="BH3">
        <v>4.1038970547857399E-2</v>
      </c>
      <c r="BI3">
        <v>0.15199838060322499</v>
      </c>
      <c r="BJ3">
        <v>0.111176086907626</v>
      </c>
      <c r="BK3">
        <v>5.3611702794135997E-2</v>
      </c>
      <c r="BL3">
        <v>6.7566720962285401E-2</v>
      </c>
      <c r="BM3">
        <v>3.68007272604838E-2</v>
      </c>
      <c r="BN3">
        <v>4.5201259238059899E-2</v>
      </c>
      <c r="BO3">
        <v>1.6871322153814702E-2</v>
      </c>
      <c r="BP3">
        <v>6.9917344127351205E-2</v>
      </c>
      <c r="BQ3">
        <v>3.75085957198524E-3</v>
      </c>
      <c r="BR3">
        <v>9.7939111046281405E-4</v>
      </c>
      <c r="BS3">
        <v>8.9484685680722795E-3</v>
      </c>
      <c r="BT3">
        <v>2.3355848463385499E-2</v>
      </c>
      <c r="BU3">
        <v>1.7436708429332901E-2</v>
      </c>
      <c r="BV3">
        <v>0.13724420934956499</v>
      </c>
      <c r="BW3">
        <v>1.7426560885752701E-2</v>
      </c>
      <c r="BX3">
        <v>0.15077678797684199</v>
      </c>
      <c r="BY3">
        <v>5.2439832192536897E-3</v>
      </c>
      <c r="BZ3">
        <v>3.6266283947891297E-2</v>
      </c>
      <c r="CA3">
        <v>3.2316495821497599E-3</v>
      </c>
      <c r="CB3">
        <v>8.3034868881478693E-2</v>
      </c>
      <c r="CC3">
        <v>3.2388178314915E-3</v>
      </c>
      <c r="CD3">
        <v>8.8017873476181202E-3</v>
      </c>
      <c r="CE3">
        <v>9.1007477371113702E-4</v>
      </c>
      <c r="CF3">
        <v>1.5003935458480901E-3</v>
      </c>
      <c r="CG3">
        <v>4.42614888617693E-3</v>
      </c>
      <c r="CH3">
        <v>1.6648148485455601E-2</v>
      </c>
      <c r="CI3">
        <v>4.3225324189931401E-3</v>
      </c>
      <c r="CJ3">
        <v>2.49114368357762E-2</v>
      </c>
      <c r="CK3">
        <v>3.09022412805333E-3</v>
      </c>
      <c r="CL3">
        <v>0.13315741046162299</v>
      </c>
      <c r="CM3">
        <v>7.0981434253000603E-3</v>
      </c>
      <c r="CN3">
        <v>3.8183731340621703E-2</v>
      </c>
      <c r="CO3">
        <v>6.8197491762662498E-3</v>
      </c>
      <c r="CP3">
        <v>0.24563868100431599</v>
      </c>
      <c r="CQ3">
        <v>3.71334171515452E-3</v>
      </c>
      <c r="CR3">
        <v>0.11327154176778401</v>
      </c>
      <c r="CS3">
        <v>1.9920318725099601E-3</v>
      </c>
      <c r="CT3">
        <v>2.7147818980488299E-2</v>
      </c>
      <c r="CU3">
        <v>1.57206911636045E-2</v>
      </c>
      <c r="CV3">
        <v>8.2513123359579998E-2</v>
      </c>
      <c r="CW3">
        <v>1.14345609605031E-3</v>
      </c>
      <c r="CX3">
        <v>0.256801181571299</v>
      </c>
      <c r="CY3">
        <v>4.6403712296983699E-4</v>
      </c>
      <c r="CZ3">
        <v>0.19789962144339901</v>
      </c>
      <c r="DA3">
        <v>9.56695969241322E-4</v>
      </c>
      <c r="DB3">
        <v>0.110742071156519</v>
      </c>
      <c r="DC3">
        <v>3.02604067667743E-2</v>
      </c>
      <c r="DD3">
        <v>6.8561110055122595E-2</v>
      </c>
    </row>
    <row r="4" spans="1:108" x14ac:dyDescent="0.35">
      <c r="A4" t="s">
        <v>56</v>
      </c>
      <c r="B4">
        <v>8.3194523256026803E-2</v>
      </c>
      <c r="C4">
        <v>1.5925024253628801E-2</v>
      </c>
      <c r="D4">
        <v>2.3953577292458499E-2</v>
      </c>
      <c r="E4">
        <v>2.4448392973617301E-2</v>
      </c>
      <c r="F4">
        <v>2.4683623606064398E-2</v>
      </c>
      <c r="G4">
        <v>4.67829845883974E-2</v>
      </c>
      <c r="H4">
        <v>7.79448157438427E-3</v>
      </c>
      <c r="I4">
        <v>3.94606151411592E-2</v>
      </c>
      <c r="J4">
        <v>1.6037960474846E-2</v>
      </c>
      <c r="K4">
        <v>0.138593149426851</v>
      </c>
      <c r="L4">
        <v>3.3549355060534698E-3</v>
      </c>
      <c r="M4">
        <v>1.3753151763945899E-3</v>
      </c>
      <c r="N4">
        <v>1.3388152780417001E-2</v>
      </c>
      <c r="O4">
        <v>5.03740045260593E-2</v>
      </c>
      <c r="P4">
        <v>5.8213248626467198E-3</v>
      </c>
      <c r="Q4">
        <v>0.30420853158102801</v>
      </c>
      <c r="R4">
        <v>4.88099647180366E-2</v>
      </c>
      <c r="S4">
        <v>4.75039472914758E-2</v>
      </c>
      <c r="T4">
        <v>3.56038860675645E-3</v>
      </c>
      <c r="U4">
        <v>8.1668138661956199E-2</v>
      </c>
      <c r="V4">
        <v>2.6758881890412002E-3</v>
      </c>
      <c r="W4">
        <v>0.442365485159112</v>
      </c>
      <c r="X4">
        <v>2.0092666176845398E-3</v>
      </c>
      <c r="Y4">
        <v>1.3570046932869499E-2</v>
      </c>
      <c r="Z4">
        <v>8.1168831168831098E-4</v>
      </c>
      <c r="AA4">
        <v>1.54466745375836E-2</v>
      </c>
      <c r="AB4">
        <v>9.2165898617511503E-3</v>
      </c>
      <c r="AC4">
        <v>5.1638403672064202E-2</v>
      </c>
      <c r="AD4">
        <v>3.3637752283142098E-3</v>
      </c>
      <c r="AE4">
        <v>6.00279502096265E-2</v>
      </c>
      <c r="AF4">
        <v>2.3957917397267399E-3</v>
      </c>
      <c r="AG4">
        <v>0.11597020885054</v>
      </c>
      <c r="AH4">
        <v>1.05758770130727E-2</v>
      </c>
      <c r="AI4">
        <v>0.13903800538602801</v>
      </c>
      <c r="AJ4">
        <v>5.03179995402416E-3</v>
      </c>
      <c r="AK4">
        <v>0.172230594365405</v>
      </c>
      <c r="AL4">
        <v>4.9121370720154297E-3</v>
      </c>
      <c r="AM4">
        <v>4.3565977602994001E-3</v>
      </c>
      <c r="AN4">
        <v>2.1452650934722598E-3</v>
      </c>
      <c r="AO4">
        <v>0.14031055266115</v>
      </c>
      <c r="AP4">
        <v>1.0799431321084799E-2</v>
      </c>
      <c r="AQ4">
        <v>0.29721675415573001</v>
      </c>
      <c r="AR4">
        <v>1.7437705464767202E-2</v>
      </c>
      <c r="AS4">
        <v>0.29734622897708302</v>
      </c>
      <c r="AT4">
        <v>1.3359384540236901E-2</v>
      </c>
      <c r="AU4">
        <v>0.24882158993772099</v>
      </c>
      <c r="AV4">
        <v>1.35381505081319E-3</v>
      </c>
      <c r="AW4">
        <v>0.45316702467553499</v>
      </c>
      <c r="AX4">
        <v>1.8190458087816001E-2</v>
      </c>
      <c r="AY4">
        <v>0.112621174681619</v>
      </c>
      <c r="BF4" t="s">
        <v>56</v>
      </c>
      <c r="BG4">
        <v>8.3194523256026803E-2</v>
      </c>
      <c r="BH4">
        <v>1.5925024253628801E-2</v>
      </c>
      <c r="BI4">
        <v>2.3953577292458499E-2</v>
      </c>
      <c r="BJ4">
        <v>2.4448392973617301E-2</v>
      </c>
      <c r="BK4">
        <v>2.4683623606064398E-2</v>
      </c>
      <c r="BL4">
        <v>4.67829845883974E-2</v>
      </c>
      <c r="BM4">
        <v>7.79448157438427E-3</v>
      </c>
      <c r="BN4">
        <v>3.94606151411592E-2</v>
      </c>
      <c r="BO4">
        <v>1.6037960474846E-2</v>
      </c>
      <c r="BP4">
        <v>0.138593149426851</v>
      </c>
      <c r="BQ4">
        <v>3.3549355060534698E-3</v>
      </c>
      <c r="BR4">
        <v>1.3753151763945899E-3</v>
      </c>
      <c r="BS4">
        <v>1.3388152780417001E-2</v>
      </c>
      <c r="BT4">
        <v>5.03740045260593E-2</v>
      </c>
      <c r="BU4">
        <v>5.8213248626467198E-3</v>
      </c>
      <c r="BV4">
        <v>0.30420853158102801</v>
      </c>
      <c r="BW4">
        <v>4.88099647180366E-2</v>
      </c>
      <c r="BX4">
        <v>4.75039472914758E-2</v>
      </c>
      <c r="BY4">
        <v>3.56038860675645E-3</v>
      </c>
      <c r="BZ4">
        <v>8.1668138661956199E-2</v>
      </c>
      <c r="CA4">
        <v>2.6758881890412002E-3</v>
      </c>
      <c r="CB4">
        <v>0.442365485159112</v>
      </c>
      <c r="CC4">
        <v>2.0092666176845398E-3</v>
      </c>
      <c r="CD4">
        <v>1.3570046932869499E-2</v>
      </c>
      <c r="CE4">
        <v>8.1168831168831098E-4</v>
      </c>
      <c r="CF4">
        <v>1.54466745375836E-2</v>
      </c>
      <c r="CG4">
        <v>9.2165898617511503E-3</v>
      </c>
      <c r="CH4">
        <v>5.1638403672064202E-2</v>
      </c>
      <c r="CI4">
        <v>3.3637752283142098E-3</v>
      </c>
      <c r="CJ4">
        <v>6.00279502096265E-2</v>
      </c>
      <c r="CK4">
        <v>2.3957917397267399E-3</v>
      </c>
      <c r="CL4">
        <v>0.11597020885054</v>
      </c>
      <c r="CM4">
        <v>1.05758770130727E-2</v>
      </c>
      <c r="CN4">
        <v>0.13903800538602801</v>
      </c>
      <c r="CO4">
        <v>5.03179995402416E-3</v>
      </c>
      <c r="CP4">
        <v>0.172230594365405</v>
      </c>
      <c r="CQ4">
        <v>4.9121370720154297E-3</v>
      </c>
      <c r="CR4">
        <v>4.3565977602994001E-3</v>
      </c>
      <c r="CS4">
        <v>2.1452650934722598E-3</v>
      </c>
      <c r="CT4">
        <v>0.14031055266115</v>
      </c>
      <c r="CU4">
        <v>1.0799431321084799E-2</v>
      </c>
      <c r="CV4">
        <v>0.29721675415573001</v>
      </c>
      <c r="CW4">
        <v>1.7437705464767202E-2</v>
      </c>
      <c r="CX4">
        <v>0.29734622897708302</v>
      </c>
      <c r="CY4">
        <v>1.3359384540236901E-2</v>
      </c>
      <c r="CZ4">
        <v>0.24882158993772099</v>
      </c>
      <c r="DA4">
        <v>1.35381505081319E-3</v>
      </c>
      <c r="DB4">
        <v>0.45316702467553499</v>
      </c>
      <c r="DC4">
        <v>1.8190458087816001E-2</v>
      </c>
      <c r="DD4">
        <v>0.112621174681619</v>
      </c>
    </row>
    <row r="5" spans="1:108" x14ac:dyDescent="0.35">
      <c r="A5" t="s">
        <v>60</v>
      </c>
      <c r="B5">
        <v>3.4504219216195897E-2</v>
      </c>
      <c r="C5">
        <v>4.4242280024162098E-2</v>
      </c>
      <c r="D5">
        <v>5.1055981646836501E-2</v>
      </c>
      <c r="E5">
        <v>2.8541868154112499E-2</v>
      </c>
      <c r="F5">
        <v>1.4675479263250199E-2</v>
      </c>
      <c r="G5">
        <v>0.114788247086831</v>
      </c>
      <c r="H5">
        <v>1.00166663860877E-2</v>
      </c>
      <c r="I5">
        <v>6.2793555664046E-2</v>
      </c>
      <c r="J5">
        <v>1.6020953093642602E-2</v>
      </c>
      <c r="K5">
        <v>8.4900846967583904E-2</v>
      </c>
      <c r="L5">
        <v>2.4588968305236602E-3</v>
      </c>
      <c r="M5">
        <v>4.8261059826210102E-2</v>
      </c>
      <c r="N5">
        <v>8.6893430303867803E-3</v>
      </c>
      <c r="O5">
        <v>5.0892255601430299E-2</v>
      </c>
      <c r="P5">
        <v>1.7014082970920601E-2</v>
      </c>
      <c r="Q5">
        <v>0.148027975078731</v>
      </c>
      <c r="R5">
        <v>5.0388881308356497E-2</v>
      </c>
      <c r="S5">
        <v>4.7757353657823399E-3</v>
      </c>
      <c r="T5">
        <v>5.0783837491720002E-3</v>
      </c>
      <c r="U5">
        <v>0.13027158313093301</v>
      </c>
      <c r="V5">
        <v>2.59355316783994E-3</v>
      </c>
      <c r="W5">
        <v>0.12362603433370301</v>
      </c>
      <c r="X5">
        <v>2.1442173606633498E-3</v>
      </c>
      <c r="Y5">
        <v>0.120106161251143</v>
      </c>
      <c r="Z5">
        <v>1.0576544667453701E-3</v>
      </c>
      <c r="AA5">
        <v>5.3153286107831502E-2</v>
      </c>
      <c r="AB5">
        <v>4.0072129833700603E-3</v>
      </c>
      <c r="AC5">
        <v>6.1292144041092102E-2</v>
      </c>
      <c r="AD5">
        <v>3.8675290064675398E-3</v>
      </c>
      <c r="AE5">
        <v>5.9849198868991503E-2</v>
      </c>
      <c r="AF5">
        <v>2.4652349785593999E-3</v>
      </c>
      <c r="AG5">
        <v>5.4721272200135403E-2</v>
      </c>
      <c r="AH5">
        <v>3.0497048385083199E-3</v>
      </c>
      <c r="AI5">
        <v>0.28973979418950901</v>
      </c>
      <c r="AJ5">
        <v>4.9551735587852102E-3</v>
      </c>
      <c r="AK5">
        <v>1.8901177492273501E-2</v>
      </c>
      <c r="AL5">
        <v>3.7718195374404199E-3</v>
      </c>
      <c r="AM5">
        <v>1.09938305897488E-2</v>
      </c>
      <c r="AN5">
        <v>2.4006537950761E-3</v>
      </c>
      <c r="AO5">
        <v>0.136632955358054</v>
      </c>
      <c r="AP5">
        <v>5.2493438320209904E-3</v>
      </c>
      <c r="AQ5">
        <v>0.119340551181102</v>
      </c>
      <c r="AR5">
        <v>2.477488208109E-3</v>
      </c>
      <c r="AS5">
        <v>0.38443946829291498</v>
      </c>
      <c r="AT5">
        <v>3.44364391256563E-3</v>
      </c>
      <c r="AU5">
        <v>0.21531322505800399</v>
      </c>
      <c r="AV5">
        <v>1.78703586707341E-3</v>
      </c>
      <c r="AW5">
        <v>0.124605137276846</v>
      </c>
      <c r="AX5">
        <v>1.2031933092567899E-2</v>
      </c>
      <c r="AY5">
        <v>0.34725337388329203</v>
      </c>
      <c r="BF5" t="s">
        <v>60</v>
      </c>
      <c r="BG5">
        <v>3.4504219216195897E-2</v>
      </c>
      <c r="BH5">
        <v>4.4242280024162098E-2</v>
      </c>
      <c r="BI5">
        <v>5.1055981646836501E-2</v>
      </c>
      <c r="BJ5">
        <v>2.8541868154112499E-2</v>
      </c>
      <c r="BK5">
        <v>1.4675479263250199E-2</v>
      </c>
      <c r="BL5">
        <v>0.114788247086831</v>
      </c>
      <c r="BM5">
        <v>1.00166663860877E-2</v>
      </c>
      <c r="BN5">
        <v>6.2793555664046E-2</v>
      </c>
      <c r="BO5">
        <v>1.6020953093642602E-2</v>
      </c>
      <c r="BP5">
        <v>8.4900846967583904E-2</v>
      </c>
      <c r="BQ5">
        <v>2.4588968305236602E-3</v>
      </c>
      <c r="BR5">
        <v>4.8261059826210102E-2</v>
      </c>
      <c r="BS5">
        <v>8.6893430303867803E-3</v>
      </c>
      <c r="BT5">
        <v>5.0892255601430299E-2</v>
      </c>
      <c r="BU5">
        <v>1.7014082970920601E-2</v>
      </c>
      <c r="BV5">
        <v>0.148027975078731</v>
      </c>
      <c r="BW5">
        <v>5.0388881308356497E-2</v>
      </c>
      <c r="BX5">
        <v>4.7757353657823399E-3</v>
      </c>
      <c r="BY5">
        <v>5.0783837491720002E-3</v>
      </c>
      <c r="BZ5">
        <v>0.13027158313093301</v>
      </c>
      <c r="CA5">
        <v>2.59355316783994E-3</v>
      </c>
      <c r="CB5">
        <v>0.12362603433370301</v>
      </c>
      <c r="CC5">
        <v>2.1442173606633498E-3</v>
      </c>
      <c r="CD5">
        <v>0.120106161251143</v>
      </c>
      <c r="CE5">
        <v>1.0576544667453701E-3</v>
      </c>
      <c r="CF5">
        <v>5.3153286107831502E-2</v>
      </c>
      <c r="CG5">
        <v>4.0072129833700603E-3</v>
      </c>
      <c r="CH5">
        <v>6.1292144041092102E-2</v>
      </c>
      <c r="CI5">
        <v>3.8675290064675398E-3</v>
      </c>
      <c r="CJ5">
        <v>5.9849198868991503E-2</v>
      </c>
      <c r="CK5">
        <v>2.4652349785593999E-3</v>
      </c>
      <c r="CL5">
        <v>5.4721272200135403E-2</v>
      </c>
      <c r="CM5">
        <v>3.0497048385083199E-3</v>
      </c>
      <c r="CN5">
        <v>0.28973979418950901</v>
      </c>
      <c r="CO5">
        <v>4.9551735587852102E-3</v>
      </c>
      <c r="CP5">
        <v>1.8901177492273501E-2</v>
      </c>
      <c r="CQ5">
        <v>3.7718195374404199E-3</v>
      </c>
      <c r="CR5">
        <v>1.09938305897488E-2</v>
      </c>
      <c r="CS5">
        <v>2.4006537950761E-3</v>
      </c>
      <c r="CT5">
        <v>0.136632955358054</v>
      </c>
      <c r="CU5">
        <v>5.2493438320209904E-3</v>
      </c>
      <c r="CV5">
        <v>0.119340551181102</v>
      </c>
      <c r="CW5">
        <v>2.477488208109E-3</v>
      </c>
      <c r="CX5">
        <v>0.38443946829291498</v>
      </c>
      <c r="CY5">
        <v>3.44364391256563E-3</v>
      </c>
      <c r="CZ5">
        <v>0.21531322505800399</v>
      </c>
      <c r="DA5">
        <v>1.78703586707341E-3</v>
      </c>
      <c r="DB5">
        <v>0.124605137276846</v>
      </c>
      <c r="DC5">
        <v>1.2031933092567899E-2</v>
      </c>
      <c r="DD5">
        <v>0.34725337388329203</v>
      </c>
    </row>
    <row r="6" spans="1:108" x14ac:dyDescent="0.35">
      <c r="A6" t="s">
        <v>57</v>
      </c>
      <c r="B6">
        <v>7.5323534257106695E-2</v>
      </c>
      <c r="C6">
        <v>0.20678735516464999</v>
      </c>
      <c r="D6">
        <v>4.3768696160680097E-2</v>
      </c>
      <c r="E6">
        <v>0.19747644002608999</v>
      </c>
      <c r="F6">
        <v>7.1028066658313405E-2</v>
      </c>
      <c r="G6">
        <v>0.259835860167898</v>
      </c>
      <c r="H6">
        <v>7.4460025925489406E-2</v>
      </c>
      <c r="I6">
        <v>0.136159323917105</v>
      </c>
      <c r="J6">
        <v>0.18235314126330801</v>
      </c>
      <c r="K6">
        <v>0.14541310928943099</v>
      </c>
      <c r="L6">
        <v>2.5214111567234102E-3</v>
      </c>
      <c r="M6">
        <v>7.4558753047573395E-2</v>
      </c>
      <c r="N6">
        <v>6.0929051427781697E-2</v>
      </c>
      <c r="O6">
        <v>0.17808834453331401</v>
      </c>
      <c r="P6">
        <v>0.15643958500906599</v>
      </c>
      <c r="Q6">
        <v>7.7585854316914504E-2</v>
      </c>
      <c r="R6">
        <v>0.134285881366834</v>
      </c>
      <c r="S6">
        <v>0</v>
      </c>
      <c r="T6">
        <v>0.12397880326782899</v>
      </c>
      <c r="U6">
        <v>4.6367851622874802E-2</v>
      </c>
      <c r="V6">
        <v>8.1573422255156194E-2</v>
      </c>
      <c r="W6">
        <v>0.202153060804413</v>
      </c>
      <c r="X6">
        <v>0.105396530266452</v>
      </c>
      <c r="Y6">
        <v>0.19791276184192699</v>
      </c>
      <c r="Z6">
        <v>9.83864620228256E-3</v>
      </c>
      <c r="AA6">
        <v>0.19138626524990099</v>
      </c>
      <c r="AB6">
        <v>6.8177264530700707E-2</v>
      </c>
      <c r="AC6">
        <v>0.35070399446276002</v>
      </c>
      <c r="AD6">
        <v>3.4174006305047203E-2</v>
      </c>
      <c r="AE6">
        <v>0.42094315707367802</v>
      </c>
      <c r="AF6">
        <v>7.5293831704310601E-2</v>
      </c>
      <c r="AG6">
        <v>0.12465061370462301</v>
      </c>
      <c r="AH6">
        <v>5.4270478500472598E-2</v>
      </c>
      <c r="AI6">
        <v>0.158620320664871</v>
      </c>
      <c r="AJ6">
        <v>8.1300605348522306E-2</v>
      </c>
      <c r="AK6">
        <v>6.2552680646726699E-2</v>
      </c>
      <c r="AL6">
        <v>5.5583170082746103E-2</v>
      </c>
      <c r="AM6">
        <v>0</v>
      </c>
      <c r="AN6">
        <v>4.8370620083767399E-2</v>
      </c>
      <c r="AO6">
        <v>0.117504341607927</v>
      </c>
      <c r="AP6">
        <v>0.15105533683289499</v>
      </c>
      <c r="AQ6">
        <v>0.115430883639545</v>
      </c>
      <c r="AR6">
        <v>1.7485349468769298E-2</v>
      </c>
      <c r="AS6">
        <v>0</v>
      </c>
      <c r="AT6">
        <v>0.13779460251556899</v>
      </c>
      <c r="AU6">
        <v>0.119306386616192</v>
      </c>
      <c r="AV6">
        <v>5.8990234480766797E-2</v>
      </c>
      <c r="AW6">
        <v>3.6571057239300299E-2</v>
      </c>
      <c r="AX6">
        <v>5.3639992396882698E-2</v>
      </c>
      <c r="AY6">
        <v>0.13164797567002401</v>
      </c>
      <c r="BF6" t="s">
        <v>57</v>
      </c>
      <c r="BG6">
        <v>7.5323534257106695E-2</v>
      </c>
      <c r="BH6">
        <v>0.20678735516464999</v>
      </c>
      <c r="BI6">
        <v>4.3768696160680097E-2</v>
      </c>
      <c r="BJ6">
        <v>0.19747644002608999</v>
      </c>
      <c r="BK6">
        <v>7.1028066658313405E-2</v>
      </c>
      <c r="BL6">
        <v>0.259835860167898</v>
      </c>
      <c r="BM6">
        <v>7.4460025925489406E-2</v>
      </c>
      <c r="BN6">
        <v>0.136159323917105</v>
      </c>
      <c r="BO6">
        <v>0.18235314126330801</v>
      </c>
      <c r="BP6">
        <v>0.14541310928943099</v>
      </c>
      <c r="BQ6">
        <v>2.5214111567234102E-3</v>
      </c>
      <c r="BR6">
        <v>7.4558753047573395E-2</v>
      </c>
      <c r="BS6">
        <v>6.0929051427781697E-2</v>
      </c>
      <c r="BT6">
        <v>0.17808834453331401</v>
      </c>
      <c r="BU6">
        <v>0.15643958500906599</v>
      </c>
      <c r="BV6">
        <v>7.7585854316914504E-2</v>
      </c>
      <c r="BW6">
        <v>0.134285881366834</v>
      </c>
      <c r="BX6">
        <v>0</v>
      </c>
      <c r="BY6">
        <v>0.12397880326782899</v>
      </c>
      <c r="BZ6">
        <v>4.6367851622874802E-2</v>
      </c>
      <c r="CA6">
        <v>8.1573422255156194E-2</v>
      </c>
      <c r="CB6">
        <v>0.202153060804413</v>
      </c>
      <c r="CC6">
        <v>0.105396530266452</v>
      </c>
      <c r="CD6">
        <v>0.19791276184192699</v>
      </c>
      <c r="CE6">
        <v>9.83864620228256E-3</v>
      </c>
      <c r="CF6">
        <v>0.19138626524990099</v>
      </c>
      <c r="CG6">
        <v>6.8177264530700707E-2</v>
      </c>
      <c r="CH6">
        <v>0.35070399446276002</v>
      </c>
      <c r="CI6">
        <v>3.4174006305047203E-2</v>
      </c>
      <c r="CJ6">
        <v>0.42094315707367802</v>
      </c>
      <c r="CK6">
        <v>7.5293831704310601E-2</v>
      </c>
      <c r="CL6">
        <v>0.12465061370462301</v>
      </c>
      <c r="CM6">
        <v>5.4270478500472598E-2</v>
      </c>
      <c r="CN6">
        <v>0.158620320664871</v>
      </c>
      <c r="CO6">
        <v>8.1300605348522306E-2</v>
      </c>
      <c r="CP6">
        <v>6.2552680646726699E-2</v>
      </c>
      <c r="CQ6">
        <v>5.5583170082746103E-2</v>
      </c>
      <c r="CR6">
        <v>0</v>
      </c>
      <c r="CS6">
        <v>4.8370620083767399E-2</v>
      </c>
      <c r="CT6">
        <v>0.117504341607927</v>
      </c>
      <c r="CU6">
        <v>0.15105533683289499</v>
      </c>
      <c r="CV6">
        <v>0.115430883639545</v>
      </c>
      <c r="CW6">
        <v>1.7485349468769298E-2</v>
      </c>
      <c r="CX6">
        <v>0</v>
      </c>
      <c r="CY6">
        <v>0.13779460251556899</v>
      </c>
      <c r="CZ6">
        <v>0.119306386616192</v>
      </c>
      <c r="DA6">
        <v>5.8990234480766797E-2</v>
      </c>
      <c r="DB6">
        <v>3.6571057239300299E-2</v>
      </c>
      <c r="DC6">
        <v>5.3639992396882698E-2</v>
      </c>
      <c r="DD6">
        <v>0.13164797567002401</v>
      </c>
    </row>
    <row r="7" spans="1:108" x14ac:dyDescent="0.35">
      <c r="A7" t="s">
        <v>59</v>
      </c>
      <c r="B7">
        <v>4.2887737731324697E-2</v>
      </c>
      <c r="C7">
        <v>0.38410426314729701</v>
      </c>
      <c r="D7">
        <v>3.3197633881379099E-2</v>
      </c>
      <c r="E7">
        <v>0.241717460246058</v>
      </c>
      <c r="F7">
        <v>3.8591655181055E-2</v>
      </c>
      <c r="G7">
        <v>0.38414672346823697</v>
      </c>
      <c r="H7">
        <v>3.1851315634416899E-2</v>
      </c>
      <c r="I7">
        <v>0.25501254187639899</v>
      </c>
      <c r="J7">
        <v>9.4033810673832402E-2</v>
      </c>
      <c r="K7">
        <v>0.17112826966903599</v>
      </c>
      <c r="L7">
        <v>2.6464398091229201E-3</v>
      </c>
      <c r="M7">
        <v>0.278855571068369</v>
      </c>
      <c r="N7">
        <v>3.2252491923920698E-2</v>
      </c>
      <c r="O7">
        <v>0.41646656416812</v>
      </c>
      <c r="P7">
        <v>0.27011220024266802</v>
      </c>
      <c r="Q7">
        <v>4.3039631361535602E-2</v>
      </c>
      <c r="R7">
        <v>6.4735580203114901E-2</v>
      </c>
      <c r="S7">
        <v>0</v>
      </c>
      <c r="T7">
        <v>9.7703687348200396E-2</v>
      </c>
      <c r="U7">
        <v>9.9939280194303301E-2</v>
      </c>
      <c r="V7">
        <v>0.24161211971512001</v>
      </c>
      <c r="W7">
        <v>7.1425630892099898E-2</v>
      </c>
      <c r="X7">
        <v>1.3105216595942401E-2</v>
      </c>
      <c r="Y7">
        <v>0.21268237093460801</v>
      </c>
      <c r="Z7">
        <v>2.87042502951593E-2</v>
      </c>
      <c r="AA7">
        <v>0.38139512003148301</v>
      </c>
      <c r="AB7">
        <v>1.29141545691335E-2</v>
      </c>
      <c r="AC7">
        <v>0.12218356678384699</v>
      </c>
      <c r="AD7">
        <v>0.101108258311937</v>
      </c>
      <c r="AE7">
        <v>0.223812928596964</v>
      </c>
      <c r="AF7">
        <v>0.122185378726063</v>
      </c>
      <c r="AG7">
        <v>2.68918942379472E-2</v>
      </c>
      <c r="AH7">
        <v>7.4905031121256904E-2</v>
      </c>
      <c r="AI7">
        <v>0.23008328726079399</v>
      </c>
      <c r="AJ7">
        <v>8.6128068248575995E-2</v>
      </c>
      <c r="AK7">
        <v>7.0496283619830902E-2</v>
      </c>
      <c r="AL7">
        <v>3.2250518990672702E-2</v>
      </c>
      <c r="AM7">
        <v>0</v>
      </c>
      <c r="AN7">
        <v>0.10302380222698899</v>
      </c>
      <c r="AO7">
        <v>0.46820410665032097</v>
      </c>
      <c r="AP7">
        <v>7.8275371828521401E-2</v>
      </c>
      <c r="AQ7">
        <v>2.6438101487314E-2</v>
      </c>
      <c r="AR7">
        <v>0.55962647100862295</v>
      </c>
      <c r="AS7">
        <v>0</v>
      </c>
      <c r="AT7">
        <v>5.7882525338869201E-2</v>
      </c>
      <c r="AU7">
        <v>0.12382464281353001</v>
      </c>
      <c r="AV7">
        <v>9.7907904474810001E-2</v>
      </c>
      <c r="AW7">
        <v>0.146934060181591</v>
      </c>
      <c r="AX7">
        <v>0.17243869986694499</v>
      </c>
      <c r="AY7">
        <v>0.21199391750617699</v>
      </c>
      <c r="BF7" t="s">
        <v>59</v>
      </c>
      <c r="BG7">
        <v>4.2887737731324697E-2</v>
      </c>
      <c r="BH7">
        <v>0.38410426314729701</v>
      </c>
      <c r="BI7">
        <v>3.3197633881379099E-2</v>
      </c>
      <c r="BJ7">
        <v>0.241717460246058</v>
      </c>
      <c r="BK7">
        <v>3.8591655181055E-2</v>
      </c>
      <c r="BL7">
        <v>0.38414672346823697</v>
      </c>
      <c r="BM7">
        <v>3.1851315634416899E-2</v>
      </c>
      <c r="BN7">
        <v>0.25501254187639899</v>
      </c>
      <c r="BO7">
        <v>9.4033810673832402E-2</v>
      </c>
      <c r="BP7">
        <v>0.17112826966903599</v>
      </c>
      <c r="BQ7">
        <v>2.6464398091229201E-3</v>
      </c>
      <c r="BR7">
        <v>0.278855571068369</v>
      </c>
      <c r="BS7">
        <v>3.2252491923920698E-2</v>
      </c>
      <c r="BT7">
        <v>0.41646656416812</v>
      </c>
      <c r="BU7">
        <v>0.27011220024266802</v>
      </c>
      <c r="BV7">
        <v>4.3039631361535602E-2</v>
      </c>
      <c r="BW7">
        <v>6.4735580203114901E-2</v>
      </c>
      <c r="BX7">
        <v>0</v>
      </c>
      <c r="BY7">
        <v>9.7703687348200396E-2</v>
      </c>
      <c r="BZ7">
        <v>9.9939280194303301E-2</v>
      </c>
      <c r="CA7">
        <v>0.24161211971512001</v>
      </c>
      <c r="CB7">
        <v>7.1425630892099898E-2</v>
      </c>
      <c r="CC7">
        <v>1.3105216595942401E-2</v>
      </c>
      <c r="CD7">
        <v>0.21268237093460801</v>
      </c>
      <c r="CE7">
        <v>2.87042502951593E-2</v>
      </c>
      <c r="CF7">
        <v>0.38139512003148301</v>
      </c>
      <c r="CG7">
        <v>1.29141545691335E-2</v>
      </c>
      <c r="CH7">
        <v>0.12218356678384699</v>
      </c>
      <c r="CI7">
        <v>0.101108258311937</v>
      </c>
      <c r="CJ7">
        <v>0.223812928596964</v>
      </c>
      <c r="CK7">
        <v>0.122185378726063</v>
      </c>
      <c r="CL7">
        <v>2.68918942379472E-2</v>
      </c>
      <c r="CM7">
        <v>7.4905031121256904E-2</v>
      </c>
      <c r="CN7">
        <v>0.23008328726079399</v>
      </c>
      <c r="CO7">
        <v>8.6128068248575995E-2</v>
      </c>
      <c r="CP7">
        <v>7.0496283619830902E-2</v>
      </c>
      <c r="CQ7">
        <v>3.2250518990672702E-2</v>
      </c>
      <c r="CR7">
        <v>0</v>
      </c>
      <c r="CS7">
        <v>0.10302380222698899</v>
      </c>
      <c r="CT7">
        <v>0.46820410665032097</v>
      </c>
      <c r="CU7">
        <v>7.8275371828521401E-2</v>
      </c>
      <c r="CV7">
        <v>2.6438101487314E-2</v>
      </c>
      <c r="CW7">
        <v>0.55962647100862295</v>
      </c>
      <c r="CX7">
        <v>0</v>
      </c>
      <c r="CY7">
        <v>5.7882525338869201E-2</v>
      </c>
      <c r="CZ7">
        <v>0.12382464281353001</v>
      </c>
      <c r="DA7">
        <v>9.7907904474810001E-2</v>
      </c>
      <c r="DB7">
        <v>0.146934060181591</v>
      </c>
      <c r="DC7">
        <v>0.17243869986694499</v>
      </c>
      <c r="DD7">
        <v>0.21199391750617699</v>
      </c>
    </row>
    <row r="8" spans="1:108" x14ac:dyDescent="0.35">
      <c r="A8" t="s">
        <v>61</v>
      </c>
      <c r="B8">
        <v>1.32525489191118E-2</v>
      </c>
      <c r="C8">
        <v>4.2869433105745799E-2</v>
      </c>
      <c r="D8">
        <v>3.11733879130024E-2</v>
      </c>
      <c r="E8">
        <v>0</v>
      </c>
      <c r="F8">
        <v>4.5342062398195701E-2</v>
      </c>
      <c r="G8">
        <v>0.102321137702042</v>
      </c>
      <c r="H8">
        <v>3.0790727428831099E-2</v>
      </c>
      <c r="I8">
        <v>0.173465093180249</v>
      </c>
      <c r="J8">
        <v>2.9235688288717299E-2</v>
      </c>
      <c r="K8">
        <v>5.9151671825572301E-2</v>
      </c>
      <c r="L8">
        <v>4.9803079872470703E-3</v>
      </c>
      <c r="M8">
        <v>0.22203004855279301</v>
      </c>
      <c r="N8">
        <v>1.40791542142449E-2</v>
      </c>
      <c r="O8">
        <v>0.113548810613782</v>
      </c>
      <c r="P8">
        <v>4.8083870703875799E-2</v>
      </c>
      <c r="Q8">
        <v>4.3380458344126099E-2</v>
      </c>
      <c r="R8">
        <v>6.4716087405703596E-3</v>
      </c>
      <c r="S8">
        <v>0</v>
      </c>
      <c r="T8">
        <v>3.6128284389489902E-2</v>
      </c>
      <c r="U8">
        <v>0</v>
      </c>
      <c r="V8">
        <v>3.60009880202544E-2</v>
      </c>
      <c r="W8" s="1">
        <v>4.1167510600633898E-5</v>
      </c>
      <c r="X8">
        <v>3.3212877299785497E-2</v>
      </c>
      <c r="Y8" s="1">
        <v>1.49945269976458E-5</v>
      </c>
      <c r="Z8">
        <v>1.5249901613537901E-3</v>
      </c>
      <c r="AA8">
        <v>0.22567394726485601</v>
      </c>
      <c r="AB8">
        <v>5.0090162292125802E-3</v>
      </c>
      <c r="AC8">
        <v>3.4061310358645498E-3</v>
      </c>
      <c r="AD8">
        <v>5.13503851278884E-2</v>
      </c>
      <c r="AE8">
        <v>5.43241574311807E-2</v>
      </c>
      <c r="AF8">
        <v>9.1925487404732498E-2</v>
      </c>
      <c r="AG8">
        <v>0</v>
      </c>
      <c r="AH8">
        <v>8.2235023452408504E-2</v>
      </c>
      <c r="AI8">
        <v>5.48411834994917E-2</v>
      </c>
      <c r="AJ8">
        <v>4.9577277719598398E-2</v>
      </c>
      <c r="AK8">
        <v>0</v>
      </c>
      <c r="AL8">
        <v>7.9997660887108496E-2</v>
      </c>
      <c r="AM8">
        <v>0</v>
      </c>
      <c r="AN8">
        <v>8.5172131984880994E-2</v>
      </c>
      <c r="AO8">
        <v>3.3685769741546599E-2</v>
      </c>
      <c r="AP8">
        <v>0.15830052493438301</v>
      </c>
      <c r="AQ8">
        <v>0</v>
      </c>
      <c r="AR8">
        <v>0.135404259373957</v>
      </c>
      <c r="AS8">
        <v>0</v>
      </c>
      <c r="AT8">
        <v>2.8526071559408901E-2</v>
      </c>
      <c r="AU8">
        <v>0</v>
      </c>
      <c r="AV8">
        <v>0.155851188649614</v>
      </c>
      <c r="AW8" s="1">
        <v>3.6101734688351699E-5</v>
      </c>
      <c r="AX8">
        <v>0.22661091047329401</v>
      </c>
      <c r="AY8">
        <v>0</v>
      </c>
      <c r="BF8" t="s">
        <v>61</v>
      </c>
      <c r="BG8">
        <v>1.32525489191118E-2</v>
      </c>
      <c r="BH8">
        <v>4.2869433105745799E-2</v>
      </c>
      <c r="BI8">
        <v>3.11733879130024E-2</v>
      </c>
      <c r="BJ8">
        <v>0</v>
      </c>
      <c r="BK8">
        <v>4.5342062398195701E-2</v>
      </c>
      <c r="BL8">
        <v>0.102321137702042</v>
      </c>
      <c r="BM8">
        <v>3.0790727428831099E-2</v>
      </c>
      <c r="BN8">
        <v>0.173465093180249</v>
      </c>
      <c r="BO8">
        <v>2.9235688288717299E-2</v>
      </c>
      <c r="BP8">
        <v>5.9151671825572301E-2</v>
      </c>
      <c r="BQ8">
        <v>4.9803079872470703E-3</v>
      </c>
      <c r="BR8">
        <v>0.22203004855279301</v>
      </c>
      <c r="BS8">
        <v>1.40791542142449E-2</v>
      </c>
      <c r="BT8">
        <v>0.113548810613782</v>
      </c>
      <c r="BU8">
        <v>4.8083870703875799E-2</v>
      </c>
      <c r="BV8">
        <v>4.3380458344126099E-2</v>
      </c>
      <c r="BW8">
        <v>6.4716087405703596E-3</v>
      </c>
      <c r="BX8">
        <v>0</v>
      </c>
      <c r="BY8">
        <v>3.6128284389489902E-2</v>
      </c>
      <c r="BZ8">
        <v>0</v>
      </c>
      <c r="CA8">
        <v>3.60009880202544E-2</v>
      </c>
      <c r="CB8" s="1">
        <v>4.1167510600633898E-5</v>
      </c>
      <c r="CC8">
        <v>3.3212877299785497E-2</v>
      </c>
      <c r="CD8" s="1">
        <v>1.49945269976458E-5</v>
      </c>
      <c r="CE8">
        <v>1.5249901613537901E-3</v>
      </c>
      <c r="CF8">
        <v>0.22567394726485601</v>
      </c>
      <c r="CG8">
        <v>5.0090162292125802E-3</v>
      </c>
      <c r="CH8">
        <v>3.4061310358645498E-3</v>
      </c>
      <c r="CI8">
        <v>5.13503851278884E-2</v>
      </c>
      <c r="CJ8">
        <v>5.43241574311807E-2</v>
      </c>
      <c r="CK8">
        <v>9.1925487404732498E-2</v>
      </c>
      <c r="CL8">
        <v>0</v>
      </c>
      <c r="CM8">
        <v>8.2235023452408504E-2</v>
      </c>
      <c r="CN8">
        <v>5.48411834994917E-2</v>
      </c>
      <c r="CO8">
        <v>4.9577277719598398E-2</v>
      </c>
      <c r="CP8">
        <v>0</v>
      </c>
      <c r="CQ8">
        <v>7.9997660887108496E-2</v>
      </c>
      <c r="CR8">
        <v>0</v>
      </c>
      <c r="CS8">
        <v>8.5172131984880994E-2</v>
      </c>
      <c r="CT8">
        <v>3.3685769741546599E-2</v>
      </c>
      <c r="CU8">
        <v>0.15830052493438301</v>
      </c>
      <c r="CV8">
        <v>0</v>
      </c>
      <c r="CW8">
        <v>0.135404259373957</v>
      </c>
      <c r="CX8">
        <v>0</v>
      </c>
      <c r="CY8">
        <v>2.8526071559408901E-2</v>
      </c>
      <c r="CZ8">
        <v>0</v>
      </c>
      <c r="DA8">
        <v>0.155851188649614</v>
      </c>
      <c r="DB8" s="1">
        <v>3.6101734688351699E-5</v>
      </c>
      <c r="DC8">
        <v>0.22661091047329401</v>
      </c>
      <c r="DD8">
        <v>0</v>
      </c>
    </row>
    <row r="9" spans="1:108" x14ac:dyDescent="0.35">
      <c r="A9" t="s">
        <v>62</v>
      </c>
      <c r="B9">
        <v>9.7380608079661694E-3</v>
      </c>
      <c r="C9">
        <v>0</v>
      </c>
      <c r="D9">
        <v>5.5306898180427701E-2</v>
      </c>
      <c r="E9">
        <v>0</v>
      </c>
      <c r="F9">
        <v>6.8193208871068695E-2</v>
      </c>
      <c r="G9">
        <v>0</v>
      </c>
      <c r="H9">
        <v>3.4780559249844203E-2</v>
      </c>
      <c r="I9">
        <v>9.4274507163179005E-2</v>
      </c>
      <c r="J9">
        <v>4.4797442089867003E-2</v>
      </c>
      <c r="K9">
        <v>0.118813565087247</v>
      </c>
      <c r="L9">
        <v>3.3757736147867201E-3</v>
      </c>
      <c r="M9">
        <v>0.30186084310987898</v>
      </c>
      <c r="N9">
        <v>6.5645136213657602E-3</v>
      </c>
      <c r="O9">
        <v>3.9162506262200497E-2</v>
      </c>
      <c r="P9">
        <v>2.20855884718681E-2</v>
      </c>
      <c r="Q9">
        <v>1.39875393655164E-2</v>
      </c>
      <c r="R9">
        <v>1.23584335588E-2</v>
      </c>
      <c r="S9">
        <v>0</v>
      </c>
      <c r="T9">
        <v>1.03499668801059E-2</v>
      </c>
      <c r="U9">
        <v>0</v>
      </c>
      <c r="V9">
        <v>7.6509818451278203E-2</v>
      </c>
      <c r="W9">
        <v>0</v>
      </c>
      <c r="X9">
        <v>1.6044143887481001E-3</v>
      </c>
      <c r="Y9">
        <v>0</v>
      </c>
      <c r="Z9">
        <v>4.7274695001967702E-2</v>
      </c>
      <c r="AA9">
        <v>0</v>
      </c>
      <c r="AB9">
        <v>0.12732008524434801</v>
      </c>
      <c r="AC9">
        <v>0</v>
      </c>
      <c r="AD9">
        <v>0.107153303649777</v>
      </c>
      <c r="AE9">
        <v>0</v>
      </c>
      <c r="AF9">
        <v>6.6908560615267093E-2</v>
      </c>
      <c r="AG9">
        <v>0</v>
      </c>
      <c r="AH9">
        <v>3.2084321663605003E-2</v>
      </c>
      <c r="AI9">
        <v>0</v>
      </c>
      <c r="AJ9">
        <v>7.6038926208781304E-2</v>
      </c>
      <c r="AK9">
        <v>0</v>
      </c>
      <c r="AL9">
        <v>3.3215403058390103E-2</v>
      </c>
      <c r="AM9">
        <v>0</v>
      </c>
      <c r="AN9">
        <v>7.5033200531208502E-2</v>
      </c>
      <c r="AO9">
        <v>1.53233220962304E-4</v>
      </c>
      <c r="AP9">
        <v>0.14236111111111099</v>
      </c>
      <c r="AQ9">
        <v>0</v>
      </c>
      <c r="AR9">
        <v>0.14964981657058399</v>
      </c>
      <c r="AS9">
        <v>0</v>
      </c>
      <c r="AT9">
        <v>9.1000122115032306E-2</v>
      </c>
      <c r="AU9">
        <v>0</v>
      </c>
      <c r="AV9">
        <v>0.141356342172241</v>
      </c>
      <c r="AW9">
        <v>0</v>
      </c>
      <c r="AX9">
        <v>0.19956282075651</v>
      </c>
      <c r="AY9">
        <v>0</v>
      </c>
      <c r="BF9" t="s">
        <v>62</v>
      </c>
      <c r="BG9">
        <v>9.7380608079661694E-3</v>
      </c>
      <c r="BH9">
        <v>0</v>
      </c>
      <c r="BI9">
        <v>5.5306898180427701E-2</v>
      </c>
      <c r="BJ9">
        <v>0</v>
      </c>
      <c r="BK9">
        <v>6.8193208871068695E-2</v>
      </c>
      <c r="BL9">
        <v>0</v>
      </c>
      <c r="BM9">
        <v>3.4780559249844203E-2</v>
      </c>
      <c r="BN9">
        <v>9.4274507163179005E-2</v>
      </c>
      <c r="BO9">
        <v>4.4797442089867003E-2</v>
      </c>
      <c r="BP9">
        <v>0.118813565087247</v>
      </c>
      <c r="BQ9">
        <v>3.3757736147867201E-3</v>
      </c>
      <c r="BR9">
        <v>0.30186084310987898</v>
      </c>
      <c r="BS9">
        <v>6.5645136213657602E-3</v>
      </c>
      <c r="BT9">
        <v>3.9162506262200497E-2</v>
      </c>
      <c r="BU9">
        <v>2.20855884718681E-2</v>
      </c>
      <c r="BV9">
        <v>1.39875393655164E-2</v>
      </c>
      <c r="BW9">
        <v>1.23584335588E-2</v>
      </c>
      <c r="BX9">
        <v>0</v>
      </c>
      <c r="BY9">
        <v>1.03499668801059E-2</v>
      </c>
      <c r="BZ9">
        <v>0</v>
      </c>
      <c r="CA9">
        <v>7.6509818451278203E-2</v>
      </c>
      <c r="CB9">
        <v>0</v>
      </c>
      <c r="CC9">
        <v>1.6044143887481001E-3</v>
      </c>
      <c r="CD9">
        <v>0</v>
      </c>
      <c r="CE9">
        <v>4.7274695001967702E-2</v>
      </c>
      <c r="CF9">
        <v>0</v>
      </c>
      <c r="CG9">
        <v>0.12732008524434801</v>
      </c>
      <c r="CH9">
        <v>0</v>
      </c>
      <c r="CI9">
        <v>0.107153303649777</v>
      </c>
      <c r="CJ9">
        <v>0</v>
      </c>
      <c r="CK9">
        <v>6.6908560615267093E-2</v>
      </c>
      <c r="CL9">
        <v>0</v>
      </c>
      <c r="CM9">
        <v>3.2084321663605003E-2</v>
      </c>
      <c r="CN9">
        <v>0</v>
      </c>
      <c r="CO9">
        <v>7.6038926208781304E-2</v>
      </c>
      <c r="CP9">
        <v>0</v>
      </c>
      <c r="CQ9">
        <v>3.3215403058390103E-2</v>
      </c>
      <c r="CR9">
        <v>0</v>
      </c>
      <c r="CS9">
        <v>7.5033200531208502E-2</v>
      </c>
      <c r="CT9">
        <v>1.53233220962304E-4</v>
      </c>
      <c r="CU9">
        <v>0.14236111111111099</v>
      </c>
      <c r="CV9">
        <v>0</v>
      </c>
      <c r="CW9">
        <v>0.14964981657058399</v>
      </c>
      <c r="CX9">
        <v>0</v>
      </c>
      <c r="CY9">
        <v>9.1000122115032306E-2</v>
      </c>
      <c r="CZ9">
        <v>0</v>
      </c>
      <c r="DA9">
        <v>0.141356342172241</v>
      </c>
      <c r="DB9">
        <v>0</v>
      </c>
      <c r="DC9">
        <v>0.19956282075651</v>
      </c>
      <c r="DD9">
        <v>0</v>
      </c>
    </row>
    <row r="10" spans="1:108" x14ac:dyDescent="0.35">
      <c r="A10" t="s">
        <v>55</v>
      </c>
      <c r="B10">
        <v>0.20265050978382201</v>
      </c>
      <c r="C10">
        <v>0</v>
      </c>
      <c r="D10">
        <v>0.33561998155687001</v>
      </c>
      <c r="E10">
        <v>0</v>
      </c>
      <c r="F10">
        <v>0.26464415486781101</v>
      </c>
      <c r="G10">
        <v>0</v>
      </c>
      <c r="H10">
        <v>0.26689786367232798</v>
      </c>
      <c r="I10">
        <v>0</v>
      </c>
      <c r="J10">
        <v>5.0477907411816701E-2</v>
      </c>
      <c r="K10">
        <v>1.08677165889996E-2</v>
      </c>
      <c r="L10">
        <v>8.5853007980995592E-3</v>
      </c>
      <c r="M10">
        <v>2.3547062868574001E-2</v>
      </c>
      <c r="N10">
        <v>1.7983312315373E-2</v>
      </c>
      <c r="O10">
        <v>0</v>
      </c>
      <c r="P10">
        <v>3.1028888495044302E-2</v>
      </c>
      <c r="Q10">
        <v>0</v>
      </c>
      <c r="R10">
        <v>8.9861796066353396E-3</v>
      </c>
      <c r="S10">
        <v>0</v>
      </c>
      <c r="T10">
        <v>3.6873482004857502E-2</v>
      </c>
      <c r="U10">
        <v>0</v>
      </c>
      <c r="V10">
        <v>5.0944794368284502E-2</v>
      </c>
      <c r="W10">
        <v>0</v>
      </c>
      <c r="X10">
        <v>1.9972709960864199E-2</v>
      </c>
      <c r="Y10">
        <v>0</v>
      </c>
      <c r="Z10">
        <v>6.8304801259346695E-2</v>
      </c>
      <c r="AA10">
        <v>0</v>
      </c>
      <c r="AB10">
        <v>0.22868435911914101</v>
      </c>
      <c r="AC10">
        <v>0</v>
      </c>
      <c r="AD10">
        <v>0.19116643374825301</v>
      </c>
      <c r="AE10">
        <v>0</v>
      </c>
      <c r="AF10">
        <v>0.15098696203190901</v>
      </c>
      <c r="AG10">
        <v>0</v>
      </c>
      <c r="AH10">
        <v>9.2347202653778201E-2</v>
      </c>
      <c r="AI10">
        <v>0</v>
      </c>
      <c r="AJ10">
        <v>0.132206073918929</v>
      </c>
      <c r="AK10">
        <v>0</v>
      </c>
      <c r="AL10">
        <v>1.11400251454635E-2</v>
      </c>
      <c r="AM10">
        <v>0</v>
      </c>
      <c r="AN10">
        <v>0.30649198079476903</v>
      </c>
      <c r="AO10">
        <v>6.02717335785064E-3</v>
      </c>
      <c r="AP10">
        <v>0.136154855643044</v>
      </c>
      <c r="AQ10">
        <v>0</v>
      </c>
      <c r="AR10">
        <v>6.20324932107294E-2</v>
      </c>
      <c r="AS10">
        <v>0</v>
      </c>
      <c r="AT10">
        <v>0.308755647820246</v>
      </c>
      <c r="AU10">
        <v>0</v>
      </c>
      <c r="AV10">
        <v>9.3557645444863599E-2</v>
      </c>
      <c r="AW10">
        <v>0</v>
      </c>
      <c r="AX10">
        <v>0.25578787302794098</v>
      </c>
      <c r="AY10">
        <v>0</v>
      </c>
      <c r="BF10" t="s">
        <v>55</v>
      </c>
      <c r="BG10">
        <v>0.20265050978382201</v>
      </c>
      <c r="BH10">
        <v>0</v>
      </c>
      <c r="BI10">
        <v>0.33561998155687001</v>
      </c>
      <c r="BJ10">
        <v>0</v>
      </c>
      <c r="BK10">
        <v>0.26464415486781101</v>
      </c>
      <c r="BL10">
        <v>0</v>
      </c>
      <c r="BM10">
        <v>0.26689786367232798</v>
      </c>
      <c r="BN10">
        <v>0</v>
      </c>
      <c r="BO10">
        <v>5.0477907411816701E-2</v>
      </c>
      <c r="BP10">
        <v>1.08677165889996E-2</v>
      </c>
      <c r="BQ10">
        <v>8.5853007980995592E-3</v>
      </c>
      <c r="BR10">
        <v>2.3547062868574001E-2</v>
      </c>
      <c r="BS10">
        <v>1.7983312315373E-2</v>
      </c>
      <c r="BT10">
        <v>0</v>
      </c>
      <c r="BU10">
        <v>3.1028888495044302E-2</v>
      </c>
      <c r="BV10">
        <v>0</v>
      </c>
      <c r="BW10">
        <v>8.9861796066353396E-3</v>
      </c>
      <c r="BX10">
        <v>0</v>
      </c>
      <c r="BY10">
        <v>3.6873482004857502E-2</v>
      </c>
      <c r="BZ10">
        <v>0</v>
      </c>
      <c r="CA10">
        <v>5.0944794368284502E-2</v>
      </c>
      <c r="CB10">
        <v>0</v>
      </c>
      <c r="CC10">
        <v>1.9972709960864199E-2</v>
      </c>
      <c r="CD10">
        <v>0</v>
      </c>
      <c r="CE10">
        <v>6.8304801259346695E-2</v>
      </c>
      <c r="CF10">
        <v>0</v>
      </c>
      <c r="CG10">
        <v>0.22868435911914101</v>
      </c>
      <c r="CH10">
        <v>0</v>
      </c>
      <c r="CI10">
        <v>0.19116643374825301</v>
      </c>
      <c r="CJ10">
        <v>0</v>
      </c>
      <c r="CK10">
        <v>0.15098696203190901</v>
      </c>
      <c r="CL10">
        <v>0</v>
      </c>
      <c r="CM10">
        <v>9.2347202653778201E-2</v>
      </c>
      <c r="CN10">
        <v>0</v>
      </c>
      <c r="CO10">
        <v>0.132206073918929</v>
      </c>
      <c r="CP10">
        <v>0</v>
      </c>
      <c r="CQ10">
        <v>1.11400251454635E-2</v>
      </c>
      <c r="CR10">
        <v>0</v>
      </c>
      <c r="CS10">
        <v>0.30649198079476903</v>
      </c>
      <c r="CT10">
        <v>6.02717335785064E-3</v>
      </c>
      <c r="CU10">
        <v>0.136154855643044</v>
      </c>
      <c r="CV10">
        <v>0</v>
      </c>
      <c r="CW10">
        <v>6.20324932107294E-2</v>
      </c>
      <c r="CX10">
        <v>0</v>
      </c>
      <c r="CY10">
        <v>0.308755647820246</v>
      </c>
      <c r="CZ10">
        <v>0</v>
      </c>
      <c r="DA10">
        <v>9.3557645444863599E-2</v>
      </c>
      <c r="DB10">
        <v>0</v>
      </c>
      <c r="DC10">
        <v>0.25578787302794098</v>
      </c>
      <c r="DD10">
        <v>0</v>
      </c>
    </row>
    <row r="11" spans="1:108" x14ac:dyDescent="0.35">
      <c r="A11" t="s">
        <v>54</v>
      </c>
      <c r="B11">
        <v>0.47732972122055201</v>
      </c>
      <c r="C11">
        <v>0</v>
      </c>
      <c r="D11">
        <v>8.5018330671824696E-2</v>
      </c>
      <c r="E11">
        <v>0</v>
      </c>
      <c r="F11">
        <v>0.39244768825961601</v>
      </c>
      <c r="G11">
        <v>0</v>
      </c>
      <c r="H11">
        <v>0.356273463409706</v>
      </c>
      <c r="I11">
        <v>0</v>
      </c>
      <c r="J11">
        <v>0.32970509200993198</v>
      </c>
      <c r="K11">
        <v>0</v>
      </c>
      <c r="L11">
        <v>0.91516805934693302</v>
      </c>
      <c r="M11">
        <v>0</v>
      </c>
      <c r="N11">
        <v>0.66825021161918896</v>
      </c>
      <c r="O11">
        <v>0</v>
      </c>
      <c r="P11">
        <v>0.28058240514784999</v>
      </c>
      <c r="Q11">
        <v>0</v>
      </c>
      <c r="R11">
        <v>0.10046587785813101</v>
      </c>
      <c r="S11">
        <v>0</v>
      </c>
      <c r="T11">
        <v>3.6349083682932201E-2</v>
      </c>
      <c r="U11">
        <v>0</v>
      </c>
      <c r="V11">
        <v>0.45551850479601402</v>
      </c>
      <c r="W11">
        <v>0</v>
      </c>
      <c r="X11">
        <v>0.391102247679596</v>
      </c>
      <c r="Y11">
        <v>0</v>
      </c>
      <c r="Z11">
        <v>0.68228551751278999</v>
      </c>
      <c r="AA11">
        <v>0</v>
      </c>
      <c r="AB11">
        <v>0.328555035427405</v>
      </c>
      <c r="AC11">
        <v>0</v>
      </c>
      <c r="AD11">
        <v>0.36219896649224798</v>
      </c>
      <c r="AE11">
        <v>0</v>
      </c>
      <c r="AF11">
        <v>0.41782260724640102</v>
      </c>
      <c r="AG11">
        <v>0</v>
      </c>
      <c r="AH11">
        <v>0.58550765993115805</v>
      </c>
      <c r="AI11">
        <v>0</v>
      </c>
      <c r="AJ11">
        <v>0.146662920487343</v>
      </c>
      <c r="AK11">
        <v>0</v>
      </c>
      <c r="AL11">
        <v>0</v>
      </c>
      <c r="AM11">
        <v>0</v>
      </c>
      <c r="AN11">
        <v>0.30169067320461701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0.30558065697887399</v>
      </c>
      <c r="AU11">
        <v>0</v>
      </c>
      <c r="AV11">
        <v>0.41137926677376802</v>
      </c>
      <c r="AW11">
        <v>0</v>
      </c>
      <c r="AX11">
        <v>0</v>
      </c>
      <c r="AY11">
        <v>0</v>
      </c>
      <c r="BF11" t="s">
        <v>54</v>
      </c>
      <c r="BG11">
        <v>0.47732972122055201</v>
      </c>
      <c r="BH11">
        <v>0</v>
      </c>
      <c r="BI11">
        <v>8.5018330671824696E-2</v>
      </c>
      <c r="BJ11">
        <v>0</v>
      </c>
      <c r="BK11">
        <v>0.39244768825961601</v>
      </c>
      <c r="BL11">
        <v>0</v>
      </c>
      <c r="BM11">
        <v>0.356273463409706</v>
      </c>
      <c r="BN11">
        <v>0</v>
      </c>
      <c r="BO11">
        <v>0.32970509200993198</v>
      </c>
      <c r="BP11">
        <v>0</v>
      </c>
      <c r="BQ11">
        <v>0.91516805934693302</v>
      </c>
      <c r="BR11">
        <v>0</v>
      </c>
      <c r="BS11">
        <v>0.66825021161918896</v>
      </c>
      <c r="BT11">
        <v>0</v>
      </c>
      <c r="BU11">
        <v>0.28058240514784999</v>
      </c>
      <c r="BV11">
        <v>0</v>
      </c>
      <c r="BW11">
        <v>0.10046587785813101</v>
      </c>
      <c r="BX11">
        <v>0</v>
      </c>
      <c r="BY11">
        <v>3.6349083682932201E-2</v>
      </c>
      <c r="BZ11">
        <v>0</v>
      </c>
      <c r="CA11">
        <v>0.45551850479601402</v>
      </c>
      <c r="CB11">
        <v>0</v>
      </c>
      <c r="CC11">
        <v>0.391102247679596</v>
      </c>
      <c r="CD11">
        <v>0</v>
      </c>
      <c r="CE11">
        <v>0.68228551751278999</v>
      </c>
      <c r="CF11">
        <v>0</v>
      </c>
      <c r="CG11">
        <v>0.328555035427405</v>
      </c>
      <c r="CH11">
        <v>0</v>
      </c>
      <c r="CI11">
        <v>0.36219896649224798</v>
      </c>
      <c r="CJ11">
        <v>0</v>
      </c>
      <c r="CK11">
        <v>0.41782260724640102</v>
      </c>
      <c r="CL11">
        <v>0</v>
      </c>
      <c r="CM11">
        <v>0.58550765993115805</v>
      </c>
      <c r="CN11">
        <v>0</v>
      </c>
      <c r="CO11">
        <v>0.146662920487343</v>
      </c>
      <c r="CP11">
        <v>0</v>
      </c>
      <c r="CQ11">
        <v>0</v>
      </c>
      <c r="CR11">
        <v>0</v>
      </c>
      <c r="CS11">
        <v>0.30169067320461701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0.30558065697887399</v>
      </c>
      <c r="CZ11">
        <v>0</v>
      </c>
      <c r="DA11">
        <v>0.41137926677376802</v>
      </c>
      <c r="DB11">
        <v>0</v>
      </c>
      <c r="DC11">
        <v>0</v>
      </c>
      <c r="DD11">
        <v>0</v>
      </c>
    </row>
    <row r="13" spans="1:108" x14ac:dyDescent="0.35">
      <c r="BO13" t="s">
        <v>52</v>
      </c>
      <c r="BP13" t="s">
        <v>53</v>
      </c>
      <c r="BQ13" t="s">
        <v>51</v>
      </c>
      <c r="BS13" t="s">
        <v>52</v>
      </c>
      <c r="BT13" t="s">
        <v>51</v>
      </c>
    </row>
    <row r="14" spans="1:108" x14ac:dyDescent="0.35">
      <c r="BI14" t="s">
        <v>71</v>
      </c>
      <c r="BJ14" t="s">
        <v>68</v>
      </c>
      <c r="BK14" t="s">
        <v>69</v>
      </c>
      <c r="BL14" t="s">
        <v>70</v>
      </c>
      <c r="BO14">
        <v>0.26600000000000001</v>
      </c>
      <c r="BP14">
        <v>0.52600000000000002</v>
      </c>
      <c r="BQ14">
        <v>0.78659999999999997</v>
      </c>
      <c r="BS14">
        <v>0.4</v>
      </c>
      <c r="BT14">
        <v>0.8</v>
      </c>
    </row>
    <row r="15" spans="1:108" x14ac:dyDescent="0.35">
      <c r="BI15" t="s">
        <v>72</v>
      </c>
      <c r="BJ15" t="s">
        <v>65</v>
      </c>
      <c r="BK15" t="s">
        <v>66</v>
      </c>
      <c r="BL15" t="s">
        <v>67</v>
      </c>
      <c r="BN15" s="2"/>
      <c r="BO15" s="2" t="s">
        <v>99</v>
      </c>
      <c r="BS15" t="s">
        <v>100</v>
      </c>
    </row>
    <row r="16" spans="1:108" x14ac:dyDescent="0.35">
      <c r="BR16" s="5" t="s">
        <v>64</v>
      </c>
    </row>
    <row r="17" spans="58:87" x14ac:dyDescent="0.35">
      <c r="BF17" t="s">
        <v>0</v>
      </c>
      <c r="BG17" t="s">
        <v>2</v>
      </c>
      <c r="BH17" t="s">
        <v>4</v>
      </c>
      <c r="BI17" t="s">
        <v>6</v>
      </c>
      <c r="BJ17" t="s">
        <v>8</v>
      </c>
      <c r="BK17" t="s">
        <v>10</v>
      </c>
      <c r="BL17" t="s">
        <v>12</v>
      </c>
      <c r="BM17" t="s">
        <v>14</v>
      </c>
      <c r="BN17" t="s">
        <v>16</v>
      </c>
      <c r="BO17" t="s">
        <v>18</v>
      </c>
      <c r="BP17" t="s">
        <v>20</v>
      </c>
      <c r="BQ17" t="s">
        <v>22</v>
      </c>
      <c r="BR17" t="s">
        <v>24</v>
      </c>
      <c r="BS17" t="s">
        <v>26</v>
      </c>
      <c r="BT17" t="s">
        <v>28</v>
      </c>
      <c r="BU17" t="s">
        <v>30</v>
      </c>
      <c r="BV17" t="s">
        <v>32</v>
      </c>
      <c r="BW17" t="s">
        <v>34</v>
      </c>
      <c r="BX17" t="s">
        <v>36</v>
      </c>
      <c r="BY17" t="s">
        <v>38</v>
      </c>
      <c r="BZ17" t="s">
        <v>40</v>
      </c>
      <c r="CA17" t="s">
        <v>42</v>
      </c>
      <c r="CB17" t="s">
        <v>44</v>
      </c>
      <c r="CC17" t="s">
        <v>46</v>
      </c>
      <c r="CD17" t="s">
        <v>48</v>
      </c>
      <c r="CE17" t="s">
        <v>50</v>
      </c>
      <c r="CG17" t="s">
        <v>105</v>
      </c>
      <c r="CH17" t="s">
        <v>106</v>
      </c>
      <c r="CI17" t="s">
        <v>107</v>
      </c>
    </row>
    <row r="18" spans="58:87" x14ac:dyDescent="0.35">
      <c r="BF18" t="s">
        <v>63</v>
      </c>
      <c r="BG18">
        <v>0.25705185700426397</v>
      </c>
      <c r="BH18">
        <v>0.29767661546073998</v>
      </c>
      <c r="BI18">
        <v>2.4527001628868499E-2</v>
      </c>
      <c r="BJ18">
        <v>0.19363310381980101</v>
      </c>
      <c r="BK18">
        <v>0.194054219531276</v>
      </c>
      <c r="BL18">
        <v>4.8240221717476897E-2</v>
      </c>
      <c r="BM18">
        <v>0.11942232280131899</v>
      </c>
      <c r="BN18">
        <v>0.19957464792572699</v>
      </c>
      <c r="BO18">
        <v>0.74265608857527099</v>
      </c>
      <c r="BP18">
        <v>0.31223780083903702</v>
      </c>
      <c r="BQ18">
        <v>6.5868016961014297E-2</v>
      </c>
      <c r="BR18">
        <v>0.432052300910167</v>
      </c>
      <c r="BS18">
        <v>0.13144431326249501</v>
      </c>
      <c r="BT18">
        <v>0.394036538496566</v>
      </c>
      <c r="BU18">
        <v>0.123809678572589</v>
      </c>
      <c r="BV18">
        <v>0.20732278953490299</v>
      </c>
      <c r="BW18">
        <v>7.6082110181733803E-2</v>
      </c>
      <c r="BX18">
        <v>0.27731092436974702</v>
      </c>
      <c r="BY18">
        <v>0.85132013683810404</v>
      </c>
      <c r="BZ18">
        <v>7.0282970681376997E-2</v>
      </c>
      <c r="CA18">
        <v>0.327564523184601</v>
      </c>
      <c r="CB18">
        <v>6.1413121158702101E-2</v>
      </c>
      <c r="CC18">
        <v>8.7116864085968901E-2</v>
      </c>
      <c r="CD18">
        <v>0.120760302532536</v>
      </c>
      <c r="CE18">
        <v>0.11149971488310199</v>
      </c>
      <c r="CG18">
        <f>AVERAGE(Table245[[#This Row],[dyad_01_anno02]:[dyad_11_anno02]])</f>
        <v>0.22317653602407225</v>
      </c>
      <c r="CH18">
        <f>AVERAGE(Table245[[#This Row],[triad_01_anno02]:[triad_14_anno02]])</f>
        <v>0.23371544919232798</v>
      </c>
      <c r="CI18">
        <f>AVERAGE(Table245[[#This Row],[dyad_01_anno02]:[triad_14_anno02]])</f>
        <v>0.22907832739829545</v>
      </c>
    </row>
    <row r="19" spans="58:87" x14ac:dyDescent="0.35">
      <c r="BF19" t="s">
        <v>58</v>
      </c>
      <c r="BG19">
        <v>4.1038970547857399E-2</v>
      </c>
      <c r="BH19">
        <v>0.111176086907626</v>
      </c>
      <c r="BI19">
        <v>6.7566720962285401E-2</v>
      </c>
      <c r="BJ19">
        <v>4.5201259238059899E-2</v>
      </c>
      <c r="BK19">
        <v>6.9917344127351205E-2</v>
      </c>
      <c r="BL19">
        <v>9.7939111046281405E-4</v>
      </c>
      <c r="BM19">
        <v>2.3355848463385499E-2</v>
      </c>
      <c r="BN19">
        <v>0.13724420934956499</v>
      </c>
      <c r="BO19">
        <v>0.15077678797684199</v>
      </c>
      <c r="BP19">
        <v>3.6266283947891297E-2</v>
      </c>
      <c r="BQ19">
        <v>8.3034868881478693E-2</v>
      </c>
      <c r="BR19">
        <v>8.8017873476181202E-3</v>
      </c>
      <c r="BS19">
        <v>1.5003935458480901E-3</v>
      </c>
      <c r="BT19">
        <v>1.6648148485455601E-2</v>
      </c>
      <c r="BU19">
        <v>2.49114368357762E-2</v>
      </c>
      <c r="BV19">
        <v>0.13315741046162299</v>
      </c>
      <c r="BW19">
        <v>3.8183731340621703E-2</v>
      </c>
      <c r="BX19">
        <v>0.24563868100431599</v>
      </c>
      <c r="BY19">
        <v>0.11327154176778401</v>
      </c>
      <c r="BZ19">
        <v>2.7147818980488299E-2</v>
      </c>
      <c r="CA19">
        <v>8.2513123359579998E-2</v>
      </c>
      <c r="CB19">
        <v>0.256801181571299</v>
      </c>
      <c r="CC19">
        <v>0.19789962144339901</v>
      </c>
      <c r="CD19">
        <v>0.110742071156519</v>
      </c>
      <c r="CE19">
        <v>6.8561110055122595E-2</v>
      </c>
      <c r="CG19">
        <f>AVERAGE(Table245[[#This Row],[dyad_01_anno02]:[dyad_11_anno02]])</f>
        <v>6.9687070137527743E-2</v>
      </c>
      <c r="CH19">
        <f>AVERAGE(Table245[[#This Row],[triad_01_anno02]:[triad_14_anno02]])</f>
        <v>9.4698432668246485E-2</v>
      </c>
      <c r="CI19">
        <f>AVERAGE(Table245[[#This Row],[dyad_01_anno02]:[triad_14_anno02]])</f>
        <v>8.369343315473024E-2</v>
      </c>
    </row>
    <row r="20" spans="58:87" x14ac:dyDescent="0.35">
      <c r="BF20" t="s">
        <v>56</v>
      </c>
      <c r="BG20">
        <v>1.5925024253628801E-2</v>
      </c>
      <c r="BH20">
        <v>2.4448392973617301E-2</v>
      </c>
      <c r="BI20">
        <v>4.67829845883974E-2</v>
      </c>
      <c r="BJ20">
        <v>3.94606151411592E-2</v>
      </c>
      <c r="BK20">
        <v>0.138593149426851</v>
      </c>
      <c r="BL20">
        <v>1.3753151763945899E-3</v>
      </c>
      <c r="BM20">
        <v>5.03740045260593E-2</v>
      </c>
      <c r="BN20">
        <v>0.30420853158102801</v>
      </c>
      <c r="BO20">
        <v>4.75039472914758E-2</v>
      </c>
      <c r="BP20">
        <v>8.1668138661956199E-2</v>
      </c>
      <c r="BQ20">
        <v>0.442365485159112</v>
      </c>
      <c r="BR20">
        <v>1.3570046932869499E-2</v>
      </c>
      <c r="BS20">
        <v>1.54466745375836E-2</v>
      </c>
      <c r="BT20">
        <v>5.1638403672064202E-2</v>
      </c>
      <c r="BU20">
        <v>6.00279502096265E-2</v>
      </c>
      <c r="BV20">
        <v>0.11597020885054</v>
      </c>
      <c r="BW20">
        <v>0.13903800538602801</v>
      </c>
      <c r="BX20">
        <v>0.172230594365405</v>
      </c>
      <c r="BY20">
        <v>4.3565977602994001E-3</v>
      </c>
      <c r="BZ20">
        <v>0.14031055266115</v>
      </c>
      <c r="CA20">
        <v>0.29721675415573001</v>
      </c>
      <c r="CB20">
        <v>0.29734622897708302</v>
      </c>
      <c r="CC20">
        <v>0.24882158993772099</v>
      </c>
      <c r="CD20">
        <v>0.45316702467553499</v>
      </c>
      <c r="CE20">
        <v>0.112621174681619</v>
      </c>
      <c r="CG20">
        <f>AVERAGE(Table245[[#This Row],[dyad_01_anno02]:[dyad_11_anno02]])</f>
        <v>0.10842778079815268</v>
      </c>
      <c r="CH20">
        <f>AVERAGE(Table245[[#This Row],[triad_01_anno02]:[triad_14_anno02]])</f>
        <v>0.15155441477166101</v>
      </c>
      <c r="CI20">
        <f>AVERAGE(Table245[[#This Row],[dyad_01_anno02]:[triad_14_anno02]])</f>
        <v>0.13257869582331736</v>
      </c>
    </row>
    <row r="21" spans="58:87" x14ac:dyDescent="0.35">
      <c r="BF21" t="s">
        <v>60</v>
      </c>
      <c r="BG21">
        <v>4.4242280024162098E-2</v>
      </c>
      <c r="BH21">
        <v>2.8541868154112499E-2</v>
      </c>
      <c r="BI21">
        <v>0.114788247086831</v>
      </c>
      <c r="BJ21">
        <v>6.2793555664046E-2</v>
      </c>
      <c r="BK21">
        <v>8.4900846967583904E-2</v>
      </c>
      <c r="BL21">
        <v>4.8261059826210102E-2</v>
      </c>
      <c r="BM21">
        <v>5.0892255601430299E-2</v>
      </c>
      <c r="BN21">
        <v>0.148027975078731</v>
      </c>
      <c r="BO21">
        <v>4.7757353657823399E-3</v>
      </c>
      <c r="BP21">
        <v>0.13027158313093301</v>
      </c>
      <c r="BQ21">
        <v>0.12362603433370301</v>
      </c>
      <c r="BR21">
        <v>0.120106161251143</v>
      </c>
      <c r="BS21">
        <v>5.3153286107831502E-2</v>
      </c>
      <c r="BT21">
        <v>6.1292144041092102E-2</v>
      </c>
      <c r="BU21">
        <v>5.9849198868991503E-2</v>
      </c>
      <c r="BV21">
        <v>5.4721272200135403E-2</v>
      </c>
      <c r="BW21">
        <v>0.28973979418950901</v>
      </c>
      <c r="BX21">
        <v>1.8901177492273501E-2</v>
      </c>
      <c r="BY21">
        <v>1.09938305897488E-2</v>
      </c>
      <c r="BZ21">
        <v>0.136632955358054</v>
      </c>
      <c r="CA21">
        <v>0.119340551181102</v>
      </c>
      <c r="CB21">
        <v>0.38443946829291498</v>
      </c>
      <c r="CC21">
        <v>0.21531322505800399</v>
      </c>
      <c r="CD21">
        <v>0.124605137276846</v>
      </c>
      <c r="CE21">
        <v>0.34725337388329203</v>
      </c>
      <c r="CG21">
        <f>AVERAGE(Table245[[#This Row],[dyad_01_anno02]:[dyad_11_anno02]])</f>
        <v>7.6465585566684119E-2</v>
      </c>
      <c r="CH21">
        <f>AVERAGE(Table245[[#This Row],[triad_01_anno02]:[triad_14_anno02]])</f>
        <v>0.14259582684220984</v>
      </c>
      <c r="CI21">
        <f>AVERAGE(Table245[[#This Row],[dyad_01_anno02]:[triad_14_anno02]])</f>
        <v>0.11349852068097854</v>
      </c>
    </row>
    <row r="22" spans="58:87" x14ac:dyDescent="0.35">
      <c r="BF22" t="s">
        <v>57</v>
      </c>
      <c r="BG22">
        <v>0.20678735516464999</v>
      </c>
      <c r="BH22">
        <v>0.19747644002608999</v>
      </c>
      <c r="BI22">
        <v>0.259835860167898</v>
      </c>
      <c r="BJ22">
        <v>0.136159323917105</v>
      </c>
      <c r="BK22">
        <v>0.14541310928943099</v>
      </c>
      <c r="BL22">
        <v>7.4558753047573395E-2</v>
      </c>
      <c r="BM22">
        <v>0.17808834453331401</v>
      </c>
      <c r="BN22">
        <v>7.7585854316914504E-2</v>
      </c>
      <c r="BO22">
        <v>0</v>
      </c>
      <c r="BP22">
        <v>4.6367851622874802E-2</v>
      </c>
      <c r="BQ22">
        <v>0.202153060804413</v>
      </c>
      <c r="BR22">
        <v>0.19791276184192699</v>
      </c>
      <c r="BS22">
        <v>0.19138626524990099</v>
      </c>
      <c r="BT22">
        <v>0.35070399446276002</v>
      </c>
      <c r="BU22">
        <v>0.42094315707367802</v>
      </c>
      <c r="BV22">
        <v>0.12465061370462301</v>
      </c>
      <c r="BW22">
        <v>0.158620320664871</v>
      </c>
      <c r="BX22">
        <v>6.2552680646726699E-2</v>
      </c>
      <c r="BY22">
        <v>0</v>
      </c>
      <c r="BZ22">
        <v>0.117504341607927</v>
      </c>
      <c r="CA22">
        <v>0.115430883639545</v>
      </c>
      <c r="CB22">
        <v>0</v>
      </c>
      <c r="CC22">
        <v>0.119306386616192</v>
      </c>
      <c r="CD22">
        <v>3.6571057239300299E-2</v>
      </c>
      <c r="CE22">
        <v>0.13164797567002401</v>
      </c>
      <c r="CG22">
        <f>AVERAGE(Table245[[#This Row],[dyad_01_anno02]:[dyad_11_anno02]])</f>
        <v>0.13858417753547853</v>
      </c>
      <c r="CH22">
        <f>AVERAGE(Table245[[#This Row],[triad_01_anno02]:[triad_14_anno02]])</f>
        <v>0.14480217417267682</v>
      </c>
      <c r="CI22">
        <f>AVERAGE(Table245[[#This Row],[dyad_01_anno02]:[triad_14_anno02]])</f>
        <v>0.14206625565230954</v>
      </c>
    </row>
    <row r="23" spans="58:87" x14ac:dyDescent="0.35">
      <c r="BF23" t="s">
        <v>59</v>
      </c>
      <c r="BG23">
        <v>0.38410426314729701</v>
      </c>
      <c r="BH23">
        <v>0.241717460246058</v>
      </c>
      <c r="BI23">
        <v>0.38414672346823697</v>
      </c>
      <c r="BJ23">
        <v>0.25501254187639899</v>
      </c>
      <c r="BK23">
        <v>0.17112826966903599</v>
      </c>
      <c r="BL23">
        <v>0.278855571068369</v>
      </c>
      <c r="BM23">
        <v>0.41646656416812</v>
      </c>
      <c r="BN23">
        <v>4.3039631361535602E-2</v>
      </c>
      <c r="BO23">
        <v>0</v>
      </c>
      <c r="BP23">
        <v>9.9939280194303301E-2</v>
      </c>
      <c r="BQ23">
        <v>7.1425630892099898E-2</v>
      </c>
      <c r="BR23">
        <v>0.21268237093460801</v>
      </c>
      <c r="BS23">
        <v>0.38139512003148301</v>
      </c>
      <c r="BT23">
        <v>0.12218356678384699</v>
      </c>
      <c r="BU23">
        <v>0.223812928596964</v>
      </c>
      <c r="BV23">
        <v>2.68918942379472E-2</v>
      </c>
      <c r="BW23">
        <v>0.23008328726079399</v>
      </c>
      <c r="BX23">
        <v>7.0496283619830902E-2</v>
      </c>
      <c r="BY23">
        <v>0</v>
      </c>
      <c r="BZ23">
        <v>0.46820410665032097</v>
      </c>
      <c r="CA23">
        <v>2.6438101487314E-2</v>
      </c>
      <c r="CB23">
        <v>0</v>
      </c>
      <c r="CC23">
        <v>0.12382464281353001</v>
      </c>
      <c r="CD23">
        <v>0.146934060181591</v>
      </c>
      <c r="CE23">
        <v>0.21199391750617699</v>
      </c>
      <c r="CG23">
        <f>AVERAGE(Table245[[#This Row],[dyad_01_anno02]:[dyad_11_anno02]])</f>
        <v>0.21325781237195046</v>
      </c>
      <c r="CH23">
        <f>AVERAGE(Table245[[#This Row],[triad_01_anno02]:[triad_14_anno02]])</f>
        <v>0.16035287715031482</v>
      </c>
      <c r="CI23">
        <f>AVERAGE(Table245[[#This Row],[dyad_01_anno02]:[triad_14_anno02]])</f>
        <v>0.18363104864783453</v>
      </c>
    </row>
    <row r="24" spans="58:87" x14ac:dyDescent="0.35">
      <c r="BF24" t="s">
        <v>61</v>
      </c>
      <c r="BG24">
        <v>4.2869433105745799E-2</v>
      </c>
      <c r="BH24">
        <v>0</v>
      </c>
      <c r="BI24">
        <v>0.102321137702042</v>
      </c>
      <c r="BJ24">
        <v>0.173465093180249</v>
      </c>
      <c r="BK24">
        <v>5.9151671825572301E-2</v>
      </c>
      <c r="BL24">
        <v>0.22203004855279301</v>
      </c>
      <c r="BM24">
        <v>0.113548810613782</v>
      </c>
      <c r="BN24">
        <v>4.3380458344126099E-2</v>
      </c>
      <c r="BO24">
        <v>0</v>
      </c>
      <c r="BP24">
        <v>0</v>
      </c>
      <c r="BQ24" s="1">
        <v>4.1167510600633898E-5</v>
      </c>
      <c r="BR24" s="1">
        <v>1.49945269976458E-5</v>
      </c>
      <c r="BS24">
        <v>0.22567394726485601</v>
      </c>
      <c r="BT24">
        <v>3.4061310358645498E-3</v>
      </c>
      <c r="BU24">
        <v>5.43241574311807E-2</v>
      </c>
      <c r="BV24">
        <v>0</v>
      </c>
      <c r="BW24">
        <v>5.48411834994917E-2</v>
      </c>
      <c r="BX24">
        <v>0</v>
      </c>
      <c r="BY24">
        <v>0</v>
      </c>
      <c r="BZ24">
        <v>3.3685769741546599E-2</v>
      </c>
      <c r="CA24">
        <v>0</v>
      </c>
      <c r="CB24">
        <v>0</v>
      </c>
      <c r="CC24">
        <v>0</v>
      </c>
      <c r="CD24" s="1">
        <v>3.6101734688351699E-5</v>
      </c>
      <c r="CE24">
        <v>0</v>
      </c>
      <c r="CG24">
        <f>AVERAGE(Table245[[#This Row],[dyad_01_anno02]:[dyad_11_anno02]])</f>
        <v>6.8800710984991895E-2</v>
      </c>
      <c r="CH24">
        <f>AVERAGE(Table245[[#This Row],[triad_01_anno02]:[triad_14_anno02]])</f>
        <v>2.6570163231044684E-2</v>
      </c>
      <c r="CI24">
        <f>AVERAGE(Table245[[#This Row],[dyad_01_anno02]:[triad_14_anno02]])</f>
        <v>4.515160424278146E-2</v>
      </c>
    </row>
    <row r="25" spans="58:87" x14ac:dyDescent="0.35">
      <c r="BF25" t="s">
        <v>62</v>
      </c>
      <c r="BG25">
        <v>0</v>
      </c>
      <c r="BH25">
        <v>0</v>
      </c>
      <c r="BI25">
        <v>0</v>
      </c>
      <c r="BJ25">
        <v>9.4274507163179005E-2</v>
      </c>
      <c r="BK25">
        <v>0.118813565087247</v>
      </c>
      <c r="BL25">
        <v>0.30186084310987898</v>
      </c>
      <c r="BM25">
        <v>3.9162506262200497E-2</v>
      </c>
      <c r="BN25">
        <v>1.39875393655164E-2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1.53233220962304E-4</v>
      </c>
      <c r="CA25">
        <v>0</v>
      </c>
      <c r="CB25">
        <v>0</v>
      </c>
      <c r="CC25">
        <v>0</v>
      </c>
      <c r="CD25">
        <v>0</v>
      </c>
      <c r="CE25">
        <v>0</v>
      </c>
      <c r="CG25">
        <f>AVERAGE(Table245[[#This Row],[dyad_01_anno02]:[dyad_11_anno02]])</f>
        <v>5.1645360089820173E-2</v>
      </c>
      <c r="CH25">
        <f>AVERAGE(Table245[[#This Row],[triad_01_anno02]:[triad_14_anno02]])</f>
        <v>1.0945230068736001E-5</v>
      </c>
      <c r="CI25">
        <f>AVERAGE(Table245[[#This Row],[dyad_01_anno02]:[triad_14_anno02]])</f>
        <v>2.2730087768359369E-2</v>
      </c>
    </row>
    <row r="26" spans="58:87" x14ac:dyDescent="0.35">
      <c r="BF26" t="s">
        <v>55</v>
      </c>
      <c r="BG26">
        <v>0</v>
      </c>
      <c r="BH26">
        <v>0</v>
      </c>
      <c r="BI26">
        <v>0</v>
      </c>
      <c r="BJ26">
        <v>0</v>
      </c>
      <c r="BK26">
        <v>1.08677165889996E-2</v>
      </c>
      <c r="BL26">
        <v>2.3547062868574001E-2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6.02717335785064E-3</v>
      </c>
      <c r="CA26">
        <v>0</v>
      </c>
      <c r="CB26">
        <v>0</v>
      </c>
      <c r="CC26">
        <v>0</v>
      </c>
      <c r="CD26">
        <v>0</v>
      </c>
      <c r="CE26">
        <v>0</v>
      </c>
      <c r="CG26">
        <f>AVERAGE(Table245[[#This Row],[dyad_01_anno02]:[dyad_11_anno02]])</f>
        <v>3.1286163143248728E-3</v>
      </c>
      <c r="CH26">
        <f>AVERAGE(Table245[[#This Row],[triad_01_anno02]:[triad_14_anno02]])</f>
        <v>4.3051238270361714E-4</v>
      </c>
      <c r="CI26">
        <f>AVERAGE(Table245[[#This Row],[dyad_01_anno02]:[triad_14_anno02]])</f>
        <v>1.6176781126169698E-3</v>
      </c>
    </row>
    <row r="27" spans="58:87" x14ac:dyDescent="0.35">
      <c r="BF27" t="s">
        <v>54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G27">
        <f>AVERAGE(Table245[[#This Row],[dyad_01_anno02]:[dyad_11_anno02]])</f>
        <v>0</v>
      </c>
      <c r="CH27">
        <f>AVERAGE(Table245[[#This Row],[triad_01_anno02]:[triad_14_anno02]])</f>
        <v>0</v>
      </c>
      <c r="CI27">
        <f>AVERAGE(Table245[[#This Row],[dyad_01_anno02]:[triad_14_anno02]])</f>
        <v>0</v>
      </c>
    </row>
  </sheetData>
  <conditionalFormatting sqref="A1:AY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:DD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7:CE27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E192-98BF-45B4-BA3D-15FECDE552EF}">
  <dimension ref="A1:AY15"/>
  <sheetViews>
    <sheetView tabSelected="1" topLeftCell="J1" zoomScale="110" zoomScaleNormal="110" workbookViewId="0">
      <selection activeCell="V27" sqref="V27"/>
    </sheetView>
  </sheetViews>
  <sheetFormatPr defaultRowHeight="14.5" x14ac:dyDescent="0.35"/>
  <cols>
    <col min="1" max="1" width="10" customWidth="1"/>
    <col min="2" max="23" width="16.26953125" customWidth="1"/>
    <col min="24" max="51" width="16.17968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>
        <v>0.69790045944610202</v>
      </c>
      <c r="C2">
        <v>0.42697369625304299</v>
      </c>
      <c r="D2">
        <v>0.47961134477407102</v>
      </c>
      <c r="E2">
        <v>0.241717460246058</v>
      </c>
      <c r="F2">
        <v>0.74818318506452797</v>
      </c>
      <c r="G2">
        <v>0.48646786117027901</v>
      </c>
      <c r="H2">
        <v>0.66684062557869395</v>
      </c>
      <c r="I2">
        <v>0.52275214221982702</v>
      </c>
      <c r="J2">
        <v>0.43899452362325198</v>
      </c>
      <c r="K2">
        <v>0.35996122317085599</v>
      </c>
      <c r="L2">
        <v>0.92854612515368096</v>
      </c>
      <c r="M2">
        <v>0.826293525599616</v>
      </c>
      <c r="N2">
        <v>0.695354742861091</v>
      </c>
      <c r="O2">
        <v>0.56917788104410305</v>
      </c>
      <c r="P2">
        <v>0.355864269062453</v>
      </c>
      <c r="Q2">
        <v>0.10040762907117801</v>
      </c>
      <c r="R2">
        <v>0.123857234751759</v>
      </c>
      <c r="S2">
        <v>0</v>
      </c>
      <c r="T2">
        <v>0.116140428350629</v>
      </c>
      <c r="U2">
        <v>9.9939280194303301E-2</v>
      </c>
      <c r="V2">
        <v>0.60213659380017204</v>
      </c>
      <c r="W2">
        <v>7.1466798402700593E-2</v>
      </c>
      <c r="X2">
        <v>0.43328185212397402</v>
      </c>
      <c r="Y2">
        <v>0.212697365461606</v>
      </c>
      <c r="Z2">
        <v>0.79845533254624101</v>
      </c>
      <c r="AA2">
        <v>0.60706906729634003</v>
      </c>
      <c r="AB2">
        <v>0.68654487167811096</v>
      </c>
      <c r="AC2">
        <v>0.12558969781971099</v>
      </c>
      <c r="AD2">
        <v>0.68512138841041303</v>
      </c>
      <c r="AE2">
        <v>0.27813708602814502</v>
      </c>
      <c r="AF2">
        <v>0.63778406624884898</v>
      </c>
      <c r="AG2">
        <v>2.68918942379472E-2</v>
      </c>
      <c r="AH2">
        <v>0.71398762283533301</v>
      </c>
      <c r="AI2">
        <v>0.28492447076028599</v>
      </c>
      <c r="AJ2">
        <v>0.35741104952619301</v>
      </c>
      <c r="AK2">
        <v>7.0496283619830902E-2</v>
      </c>
      <c r="AL2">
        <v>6.3156048068769899E-2</v>
      </c>
      <c r="AM2">
        <v>0</v>
      </c>
      <c r="AN2">
        <v>0.69235877004801305</v>
      </c>
      <c r="AO2">
        <v>0.50807028297068102</v>
      </c>
      <c r="AP2">
        <v>0.32977909011373502</v>
      </c>
      <c r="AQ2">
        <v>2.6438101487314E-2</v>
      </c>
      <c r="AR2">
        <v>0.21420744199342501</v>
      </c>
      <c r="AS2">
        <v>0</v>
      </c>
      <c r="AT2">
        <v>0.72785443888142598</v>
      </c>
      <c r="AU2">
        <v>0.12382464281353001</v>
      </c>
      <c r="AV2">
        <v>0.69873102402570397</v>
      </c>
      <c r="AW2">
        <v>0.14697016191628001</v>
      </c>
      <c r="AX2">
        <v>0.55135905721345702</v>
      </c>
      <c r="AY2">
        <v>0.21199391750617699</v>
      </c>
    </row>
    <row r="3" spans="1:51" x14ac:dyDescent="0.35">
      <c r="A3" t="s">
        <v>53</v>
      </c>
      <c r="B3">
        <v>0.15031758525379299</v>
      </c>
      <c r="C3">
        <v>0.25974263696436001</v>
      </c>
      <c r="D3">
        <v>0.14992915139110599</v>
      </c>
      <c r="E3">
        <v>0.24365173972695101</v>
      </c>
      <c r="F3">
        <v>0.143731988472622</v>
      </c>
      <c r="G3">
        <v>0.39512592406966501</v>
      </c>
      <c r="H3">
        <v>0.13700106058820499</v>
      </c>
      <c r="I3">
        <v>0.21691554014242101</v>
      </c>
      <c r="J3">
        <v>0.30067349229565599</v>
      </c>
      <c r="K3">
        <v>0.28138712201095201</v>
      </c>
      <c r="L3">
        <v>1.1044197628623201E-2</v>
      </c>
      <c r="M3">
        <v>0.123424118027047</v>
      </c>
      <c r="N3">
        <v>0.110888455093544</v>
      </c>
      <c r="O3">
        <v>0.255929656054036</v>
      </c>
      <c r="P3">
        <v>0.46749192240051202</v>
      </c>
      <c r="Q3">
        <v>0.40623849708933701</v>
      </c>
      <c r="R3">
        <v>0.25069686750745601</v>
      </c>
      <c r="S3">
        <v>2.0681858053449201E-2</v>
      </c>
      <c r="T3">
        <v>0.22885846765290299</v>
      </c>
      <c r="U3">
        <v>0.22656767498343999</v>
      </c>
      <c r="V3">
        <v>0.34173150549586201</v>
      </c>
      <c r="W3">
        <v>0.68852661479560295</v>
      </c>
      <c r="X3">
        <v>0.132581607713184</v>
      </c>
      <c r="Y3">
        <v>0.326925672129672</v>
      </c>
      <c r="Z3">
        <v>4.01908697363242E-2</v>
      </c>
      <c r="AA3">
        <v>0.25819067296339998</v>
      </c>
      <c r="AB3">
        <v>8.6555800440793404E-2</v>
      </c>
      <c r="AC3">
        <v>0.44082985737964703</v>
      </c>
      <c r="AD3">
        <v>0.16477623582176801</v>
      </c>
      <c r="AE3">
        <v>0.52593519451395798</v>
      </c>
      <c r="AF3">
        <v>0.28904012083123498</v>
      </c>
      <c r="AG3">
        <v>0.27978680925678301</v>
      </c>
      <c r="AH3">
        <v>0.20964491448342201</v>
      </c>
      <c r="AI3">
        <v>0.52822314565461603</v>
      </c>
      <c r="AJ3">
        <v>0.218027636586549</v>
      </c>
      <c r="AK3">
        <v>0.13473474496181401</v>
      </c>
      <c r="AL3">
        <v>0.15169147100961899</v>
      </c>
      <c r="AM3">
        <v>1.33621823923277E-2</v>
      </c>
      <c r="AN3">
        <v>0.22900704872816399</v>
      </c>
      <c r="AO3">
        <v>0.35110838696496</v>
      </c>
      <c r="AP3">
        <v>0.33970363079615001</v>
      </c>
      <c r="AQ3">
        <v>0.473507217847769</v>
      </c>
      <c r="AR3">
        <v>0.71232550383534199</v>
      </c>
      <c r="AS3">
        <v>0.51803325551479296</v>
      </c>
      <c r="AT3">
        <v>0.20410306508731199</v>
      </c>
      <c r="AU3">
        <v>0.53185981194285004</v>
      </c>
      <c r="AV3">
        <v>0.26164732215382902</v>
      </c>
      <c r="AW3">
        <v>0.28960811566995698</v>
      </c>
      <c r="AX3">
        <v>0.36618513590572099</v>
      </c>
      <c r="AY3">
        <v>0.50058924158905105</v>
      </c>
    </row>
    <row r="4" spans="1:51" x14ac:dyDescent="0.35">
      <c r="A4" t="s">
        <v>52</v>
      </c>
      <c r="B4" s="3">
        <v>0.15178195530010399</v>
      </c>
      <c r="C4" s="3">
        <v>0.30530285003020202</v>
      </c>
      <c r="D4" s="3">
        <v>0.37045950383482101</v>
      </c>
      <c r="E4" s="3">
        <v>0.41566766379523601</v>
      </c>
      <c r="F4" s="3">
        <v>0.108069164265129</v>
      </c>
      <c r="G4" s="3">
        <v>0.118374890364615</v>
      </c>
      <c r="H4" s="3">
        <v>0.19615831383310001</v>
      </c>
      <c r="I4" s="3">
        <v>0.26033231763775</v>
      </c>
      <c r="J4" s="3">
        <v>0.25801898023742298</v>
      </c>
      <c r="K4" s="3">
        <v>0.35149154733154098</v>
      </c>
      <c r="L4" s="3">
        <v>6.0388839108962401E-2</v>
      </c>
      <c r="M4" s="3">
        <v>4.9990622851069998E-2</v>
      </c>
      <c r="N4" s="3">
        <v>0.19373952700951799</v>
      </c>
      <c r="O4" s="3">
        <v>0.16620311987147299</v>
      </c>
      <c r="P4" s="3">
        <v>0.17664380853703401</v>
      </c>
      <c r="Q4" s="3">
        <v>0.46040272116262898</v>
      </c>
      <c r="R4" s="3">
        <v>0.62544589774078396</v>
      </c>
      <c r="S4" s="3">
        <v>0.92503070115592201</v>
      </c>
      <c r="T4" s="3">
        <v>0.65381430779421501</v>
      </c>
      <c r="U4" s="3">
        <v>0.38024398321925301</v>
      </c>
      <c r="V4" s="3">
        <v>5.6131900703964399E-2</v>
      </c>
      <c r="W4" s="3">
        <v>0.22852085134411901</v>
      </c>
      <c r="X4" s="3">
        <v>0.42654930950203102</v>
      </c>
      <c r="Y4" s="3">
        <v>0.44551738615405301</v>
      </c>
      <c r="Z4" s="3">
        <v>0.16135379771743399</v>
      </c>
      <c r="AA4" s="3">
        <v>0.13474025974025899</v>
      </c>
      <c r="AB4" s="3">
        <v>0.22689932788109499</v>
      </c>
      <c r="AC4" s="3">
        <v>0.433489371778291</v>
      </c>
      <c r="AD4" s="3">
        <v>0.15010237576781801</v>
      </c>
      <c r="AE4" s="3">
        <v>0.163606227046702</v>
      </c>
      <c r="AF4" s="3">
        <v>7.3175812919914499E-2</v>
      </c>
      <c r="AG4" s="3">
        <v>0.35603548549504299</v>
      </c>
      <c r="AH4" s="3">
        <v>7.6367462681243406E-2</v>
      </c>
      <c r="AI4" s="3">
        <v>0.17344081610814799</v>
      </c>
      <c r="AJ4" s="3">
        <v>0.42456131388725699</v>
      </c>
      <c r="AK4" s="3">
        <v>0.64189931291665603</v>
      </c>
      <c r="AL4" s="3">
        <v>0.78515248092161005</v>
      </c>
      <c r="AM4" s="3">
        <v>0.96657992456360897</v>
      </c>
      <c r="AN4" s="3">
        <v>7.8608642353662203E-2</v>
      </c>
      <c r="AO4" s="3">
        <v>0.140770252324037</v>
      </c>
      <c r="AP4" s="3">
        <v>0.33051727909011303</v>
      </c>
      <c r="AQ4" s="3">
        <v>0.46855861767279</v>
      </c>
      <c r="AR4" s="3">
        <v>7.3467054171232504E-2</v>
      </c>
      <c r="AS4" s="3">
        <v>0.48196674448520599</v>
      </c>
      <c r="AT4" s="3">
        <v>6.8042496031261404E-2</v>
      </c>
      <c r="AU4" s="3">
        <v>0.33659787519843598</v>
      </c>
      <c r="AV4" s="3">
        <v>3.9621653820466E-2</v>
      </c>
      <c r="AW4" s="3">
        <v>0.55623747721077998</v>
      </c>
      <c r="AX4" s="3">
        <v>8.2455806880821103E-2</v>
      </c>
      <c r="AY4" s="4">
        <v>0.27099410758410902</v>
      </c>
    </row>
    <row r="8" spans="1:51" x14ac:dyDescent="0.35">
      <c r="I8" s="5"/>
      <c r="U8" s="5"/>
      <c r="W8" s="5"/>
    </row>
    <row r="9" spans="1:51" x14ac:dyDescent="0.35">
      <c r="I9" s="5"/>
      <c r="U9" s="5"/>
      <c r="W9" s="5"/>
    </row>
    <row r="10" spans="1:51" x14ac:dyDescent="0.35"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  <c r="P10" t="s">
        <v>87</v>
      </c>
      <c r="Q10" t="s">
        <v>88</v>
      </c>
      <c r="R10" t="s">
        <v>89</v>
      </c>
      <c r="S10" t="s">
        <v>90</v>
      </c>
      <c r="T10" t="s">
        <v>91</v>
      </c>
      <c r="U10" t="s">
        <v>92</v>
      </c>
    </row>
    <row r="11" spans="1:51" x14ac:dyDescent="0.35">
      <c r="A11" t="s">
        <v>93</v>
      </c>
      <c r="B11">
        <v>0.86276146222643102</v>
      </c>
      <c r="C11">
        <v>0.74074689803015803</v>
      </c>
      <c r="D11">
        <v>0.85054928065416602</v>
      </c>
      <c r="E11">
        <v>0.81632449232768201</v>
      </c>
      <c r="F11">
        <v>0.79085038760443604</v>
      </c>
      <c r="G11">
        <v>0.77813793483798299</v>
      </c>
      <c r="H11">
        <v>0.83075341522976798</v>
      </c>
      <c r="I11">
        <v>0.70869464818295702</v>
      </c>
      <c r="J11">
        <v>0.81491130084522601</v>
      </c>
      <c r="K11">
        <v>0.86785674397944002</v>
      </c>
      <c r="L11">
        <v>0.519005742862511</v>
      </c>
      <c r="M11">
        <v>0.69025879886924402</v>
      </c>
      <c r="N11">
        <v>0.65165587962521498</v>
      </c>
      <c r="O11">
        <v>0.44824897491003401</v>
      </c>
      <c r="P11">
        <v>0.81223262502022398</v>
      </c>
      <c r="Q11">
        <v>0.83410906420998399</v>
      </c>
      <c r="R11">
        <v>0.64685998237570397</v>
      </c>
      <c r="S11">
        <v>0.73227374615366603</v>
      </c>
      <c r="T11">
        <v>0.699216950339417</v>
      </c>
      <c r="U11">
        <v>0.86051623569899005</v>
      </c>
    </row>
    <row r="12" spans="1:51" x14ac:dyDescent="0.35">
      <c r="A12" t="s">
        <v>94</v>
      </c>
      <c r="B12">
        <v>0.85352349983328701</v>
      </c>
      <c r="C12">
        <v>0.724798315377438</v>
      </c>
      <c r="D12">
        <v>0.82777645880776596</v>
      </c>
      <c r="E12">
        <v>0.82784987948012601</v>
      </c>
      <c r="F12">
        <v>0.79161955238377801</v>
      </c>
      <c r="G12">
        <v>0.84375318356718498</v>
      </c>
      <c r="H12">
        <v>0.79807061278984004</v>
      </c>
      <c r="I12">
        <v>0.64715346567446697</v>
      </c>
      <c r="J12">
        <v>0.86269506552383102</v>
      </c>
      <c r="K12">
        <v>0.86957035714180098</v>
      </c>
      <c r="L12">
        <v>0.58038210611443397</v>
      </c>
      <c r="M12">
        <v>0.59977673890186201</v>
      </c>
      <c r="N12">
        <v>0.45591494839174301</v>
      </c>
      <c r="O12">
        <v>0.105153463433959</v>
      </c>
      <c r="P12">
        <v>0.75883908005948497</v>
      </c>
      <c r="Q12">
        <v>0.77796162730809604</v>
      </c>
      <c r="R12">
        <v>0.57801020824920901</v>
      </c>
      <c r="S12">
        <v>0.68423457878454397</v>
      </c>
      <c r="T12">
        <v>0.61375646710571996</v>
      </c>
      <c r="U12">
        <v>0.76635249505233505</v>
      </c>
    </row>
    <row r="13" spans="1:51" x14ac:dyDescent="0.35">
      <c r="I13" s="5" t="s">
        <v>98</v>
      </c>
      <c r="U13" s="5" t="s">
        <v>97</v>
      </c>
      <c r="X13" s="5" t="s">
        <v>96</v>
      </c>
    </row>
    <row r="14" spans="1:51" x14ac:dyDescent="0.35">
      <c r="H14" t="s">
        <v>101</v>
      </c>
      <c r="I14" s="5">
        <f>AVERAGE(B11:I11)</f>
        <v>0.79735231488669767</v>
      </c>
      <c r="T14" t="s">
        <v>101</v>
      </c>
      <c r="U14" s="5">
        <f>AVERAGE(J11:U11)</f>
        <v>0.71476217040747125</v>
      </c>
      <c r="W14" t="s">
        <v>101</v>
      </c>
      <c r="X14" s="5">
        <f>AVERAGE(I14,U14)</f>
        <v>0.7560572426470844</v>
      </c>
    </row>
    <row r="15" spans="1:51" x14ac:dyDescent="0.35">
      <c r="H15" t="s">
        <v>102</v>
      </c>
      <c r="I15" s="5">
        <f>AVERAGE(B12:I12)</f>
        <v>0.78931812098923593</v>
      </c>
      <c r="T15" t="s">
        <v>102</v>
      </c>
      <c r="U15" s="5">
        <f>AVERAGE(J12:U12)</f>
        <v>0.6377205946722514</v>
      </c>
      <c r="W15" t="s">
        <v>102</v>
      </c>
      <c r="X15" s="5">
        <f>AVERAGE(I15,U15)</f>
        <v>0.71351935783074372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884E-4278-4958-AEF6-CE3AB5C8D996}">
  <dimension ref="A1:U11"/>
  <sheetViews>
    <sheetView zoomScale="160" zoomScaleNormal="160" workbookViewId="0">
      <selection activeCell="B10" sqref="B10:U10"/>
    </sheetView>
  </sheetViews>
  <sheetFormatPr defaultRowHeight="14.5" x14ac:dyDescent="0.35"/>
  <sheetData>
    <row r="1" spans="1:21" x14ac:dyDescent="0.3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s="5" t="s">
        <v>79</v>
      </c>
      <c r="I1" s="5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35">
      <c r="A2" t="s">
        <v>93</v>
      </c>
      <c r="B2">
        <v>0.86276146222643102</v>
      </c>
      <c r="C2">
        <v>0.74074689803015803</v>
      </c>
      <c r="D2">
        <v>0.85054928065416602</v>
      </c>
      <c r="E2">
        <v>0.81814633616452004</v>
      </c>
      <c r="F2">
        <v>0.79085038760443604</v>
      </c>
      <c r="G2">
        <v>0.78505091998955501</v>
      </c>
      <c r="H2" s="5">
        <v>-0.33398042471309602</v>
      </c>
      <c r="I2" s="5">
        <v>2.2800072977221301E-2</v>
      </c>
      <c r="J2">
        <v>0.81491130084522601</v>
      </c>
      <c r="K2">
        <v>0.86785674397944002</v>
      </c>
      <c r="L2">
        <v>-8.4598923649412197E-2</v>
      </c>
      <c r="M2">
        <v>0.21799042590743101</v>
      </c>
      <c r="N2">
        <v>-8.6805497576840196E-2</v>
      </c>
      <c r="O2">
        <v>-9.8060428060056895E-2</v>
      </c>
      <c r="P2">
        <v>0.29753922699669499</v>
      </c>
      <c r="Q2">
        <v>0.195374044392325</v>
      </c>
      <c r="R2">
        <v>0.35849302300033697</v>
      </c>
      <c r="S2">
        <v>-0.279845157467007</v>
      </c>
      <c r="T2">
        <v>0.12539529152194401</v>
      </c>
      <c r="U2">
        <v>0.64309151947275001</v>
      </c>
    </row>
    <row r="3" spans="1:21" x14ac:dyDescent="0.35">
      <c r="A3" t="s">
        <v>94</v>
      </c>
      <c r="B3">
        <v>0.85629482756780495</v>
      </c>
      <c r="C3">
        <v>0.72480082067718599</v>
      </c>
      <c r="D3">
        <v>0.82777645880776596</v>
      </c>
      <c r="E3">
        <v>0.82659452725981197</v>
      </c>
      <c r="F3">
        <v>0.79078960048874103</v>
      </c>
      <c r="G3">
        <v>0.83794847262402505</v>
      </c>
      <c r="H3" s="5">
        <v>0.832584473541637</v>
      </c>
      <c r="I3" s="5">
        <v>0.64171827186225805</v>
      </c>
      <c r="J3">
        <v>0.86231599498596401</v>
      </c>
      <c r="K3">
        <v>0.86957035714180098</v>
      </c>
      <c r="L3">
        <v>0.53891218808139896</v>
      </c>
      <c r="M3">
        <v>0.59137022905749004</v>
      </c>
      <c r="N3">
        <v>0.44227699763089001</v>
      </c>
      <c r="O3" s="5">
        <v>0.106638622511867</v>
      </c>
      <c r="P3">
        <v>0.75878204633194901</v>
      </c>
      <c r="Q3">
        <v>0.77646361437990297</v>
      </c>
      <c r="R3">
        <v>0.57801020824920901</v>
      </c>
      <c r="S3">
        <v>0.67676370745270498</v>
      </c>
      <c r="T3">
        <v>0.61168228428765803</v>
      </c>
      <c r="U3">
        <v>0.75541379016388399</v>
      </c>
    </row>
    <row r="5" spans="1:21" x14ac:dyDescent="0.35"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 t="s">
        <v>92</v>
      </c>
    </row>
    <row r="6" spans="1:21" x14ac:dyDescent="0.35">
      <c r="A6" t="s">
        <v>93</v>
      </c>
      <c r="B6">
        <v>0.86276146222643102</v>
      </c>
      <c r="C6">
        <v>0.74074689803015803</v>
      </c>
      <c r="D6">
        <v>0.85054928065416602</v>
      </c>
      <c r="E6">
        <v>0.81814441680772598</v>
      </c>
      <c r="F6">
        <v>0.79085038760443604</v>
      </c>
      <c r="G6">
        <v>0.78504247080995204</v>
      </c>
      <c r="H6">
        <v>0.86401203098463697</v>
      </c>
      <c r="I6">
        <v>0.71166563560714802</v>
      </c>
      <c r="J6">
        <v>0.81491130084522601</v>
      </c>
      <c r="K6">
        <v>0.86785674397944002</v>
      </c>
      <c r="L6">
        <v>0.33721816546926398</v>
      </c>
      <c r="M6">
        <v>0.69365086432215095</v>
      </c>
      <c r="N6">
        <v>0.68848032279059901</v>
      </c>
      <c r="O6">
        <v>0.449340985843523</v>
      </c>
      <c r="P6">
        <v>0.81228571162530305</v>
      </c>
      <c r="Q6">
        <v>0.83411116863041002</v>
      </c>
      <c r="R6">
        <v>0.64685998237570397</v>
      </c>
      <c r="S6">
        <v>0.73210706007850201</v>
      </c>
      <c r="T6">
        <v>0.705625661637861</v>
      </c>
      <c r="U6">
        <v>0.86637849019393798</v>
      </c>
    </row>
    <row r="7" spans="1:21" x14ac:dyDescent="0.35">
      <c r="A7" t="s">
        <v>94</v>
      </c>
      <c r="B7">
        <v>0.85352349983328701</v>
      </c>
      <c r="C7">
        <v>0.724798315377438</v>
      </c>
      <c r="D7">
        <v>0.82777645880776596</v>
      </c>
      <c r="E7">
        <v>0.82784987948012601</v>
      </c>
      <c r="F7">
        <v>0.79161955238377801</v>
      </c>
      <c r="G7">
        <v>0.84375318356718498</v>
      </c>
      <c r="H7">
        <v>0.79807061278984004</v>
      </c>
      <c r="I7">
        <v>0.64715346567446697</v>
      </c>
      <c r="J7">
        <v>0.86269506552383102</v>
      </c>
      <c r="K7">
        <v>0.86957035714180098</v>
      </c>
      <c r="L7">
        <v>0.58038210611443397</v>
      </c>
      <c r="M7">
        <v>0.59977673890186201</v>
      </c>
      <c r="N7">
        <v>0.45591494839174301</v>
      </c>
      <c r="O7">
        <v>0.105153463433959</v>
      </c>
      <c r="P7">
        <v>0.75883908005948497</v>
      </c>
      <c r="Q7">
        <v>0.77796162730809604</v>
      </c>
      <c r="R7">
        <v>0.57801020824920901</v>
      </c>
      <c r="S7">
        <v>0.68423457878454397</v>
      </c>
      <c r="T7">
        <v>0.61375646710571996</v>
      </c>
      <c r="U7">
        <v>0.76635249505233505</v>
      </c>
    </row>
    <row r="9" spans="1:21" x14ac:dyDescent="0.35"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  <c r="P9" t="s">
        <v>87</v>
      </c>
      <c r="Q9" t="s">
        <v>88</v>
      </c>
      <c r="R9" t="s">
        <v>89</v>
      </c>
      <c r="S9" t="s">
        <v>90</v>
      </c>
      <c r="T9" t="s">
        <v>91</v>
      </c>
      <c r="U9" t="s">
        <v>92</v>
      </c>
    </row>
    <row r="10" spans="1:21" x14ac:dyDescent="0.35">
      <c r="A10" t="s">
        <v>93</v>
      </c>
      <c r="B10">
        <v>0.86276146222643102</v>
      </c>
      <c r="C10">
        <v>0.74074689803015803</v>
      </c>
      <c r="D10">
        <v>0.85054928065416602</v>
      </c>
      <c r="E10">
        <v>0.81632449232768201</v>
      </c>
      <c r="F10">
        <v>0.79085038760443604</v>
      </c>
      <c r="G10">
        <v>0.77813793483798299</v>
      </c>
      <c r="H10">
        <v>0.83075341522976798</v>
      </c>
      <c r="I10">
        <v>0.70869464818295702</v>
      </c>
      <c r="J10">
        <v>0.81491130084522601</v>
      </c>
      <c r="K10">
        <v>0.86785674397944002</v>
      </c>
      <c r="L10">
        <v>0.519005742862511</v>
      </c>
      <c r="M10">
        <v>0.69025879886924402</v>
      </c>
      <c r="N10">
        <v>0.65165587962521498</v>
      </c>
      <c r="O10">
        <v>0.44824897491003401</v>
      </c>
      <c r="P10">
        <v>0.81223262502022398</v>
      </c>
      <c r="Q10">
        <v>0.83410906420998399</v>
      </c>
      <c r="R10">
        <v>0.64685998237570397</v>
      </c>
      <c r="S10">
        <v>0.73227374615366603</v>
      </c>
      <c r="T10">
        <v>0.699216950339417</v>
      </c>
      <c r="U10">
        <v>0.86051623569899005</v>
      </c>
    </row>
    <row r="11" spans="1:21" x14ac:dyDescent="0.35">
      <c r="A11" t="s">
        <v>94</v>
      </c>
      <c r="B11">
        <v>0.85352349983328701</v>
      </c>
      <c r="C11">
        <v>0.724798315377438</v>
      </c>
      <c r="D11">
        <v>0.82777645880776596</v>
      </c>
      <c r="E11">
        <v>0.82784987948012601</v>
      </c>
      <c r="F11">
        <v>0.79161955238377801</v>
      </c>
      <c r="G11">
        <v>0.84375318356718498</v>
      </c>
      <c r="H11">
        <v>0.79807061278984004</v>
      </c>
      <c r="I11">
        <v>0.64715346567446697</v>
      </c>
      <c r="J11">
        <v>0.86269506552383102</v>
      </c>
      <c r="K11">
        <v>0.86957035714180098</v>
      </c>
      <c r="L11">
        <v>0.58038210611443397</v>
      </c>
      <c r="M11">
        <v>0.59977673890186201</v>
      </c>
      <c r="N11">
        <v>0.45591494839174301</v>
      </c>
      <c r="O11">
        <v>0.105153463433959</v>
      </c>
      <c r="P11">
        <v>0.75883908005948497</v>
      </c>
      <c r="Q11">
        <v>0.77796162730809604</v>
      </c>
      <c r="R11">
        <v>0.57801020824920901</v>
      </c>
      <c r="S11">
        <v>0.68423457878454397</v>
      </c>
      <c r="T11">
        <v>0.61375646710571996</v>
      </c>
      <c r="U11">
        <v>0.76635249505233505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1442-5A43-463D-935D-4B7C818F7F90}">
  <dimension ref="A1:AO10"/>
  <sheetViews>
    <sheetView workbookViewId="0">
      <selection activeCell="H69" sqref="H69"/>
    </sheetView>
  </sheetViews>
  <sheetFormatPr defaultRowHeight="14.5" x14ac:dyDescent="0.35"/>
  <cols>
    <col min="1" max="1" width="10" customWidth="1"/>
    <col min="2" max="17" width="16.26953125" customWidth="1"/>
    <col min="18" max="41" width="16.1796875" customWidth="1"/>
  </cols>
  <sheetData>
    <row r="1" spans="1:41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</row>
    <row r="2" spans="1:41" x14ac:dyDescent="0.35">
      <c r="A2" t="s">
        <v>51</v>
      </c>
      <c r="B2">
        <v>0.47961134477407102</v>
      </c>
      <c r="C2">
        <v>0.241717460246058</v>
      </c>
      <c r="D2">
        <v>0.74818318506452797</v>
      </c>
      <c r="E2">
        <v>0.48646786117027901</v>
      </c>
      <c r="F2">
        <v>0.66684062557869395</v>
      </c>
      <c r="G2">
        <v>0.52275214221982702</v>
      </c>
      <c r="H2">
        <v>0.43899452362325198</v>
      </c>
      <c r="I2">
        <v>0.35996122317085599</v>
      </c>
      <c r="J2">
        <v>0.92854612515368096</v>
      </c>
      <c r="K2">
        <v>0.826293525599616</v>
      </c>
      <c r="L2">
        <v>0.695354742861091</v>
      </c>
      <c r="M2">
        <v>0.56917788104410305</v>
      </c>
      <c r="N2">
        <v>0.116140428350629</v>
      </c>
      <c r="O2">
        <v>9.9939280194303301E-2</v>
      </c>
      <c r="P2">
        <v>0.60213659380017204</v>
      </c>
      <c r="Q2">
        <v>7.1466798402700593E-2</v>
      </c>
      <c r="R2">
        <v>0.43328185212397402</v>
      </c>
      <c r="S2">
        <v>0.212697365461606</v>
      </c>
      <c r="T2">
        <v>0.79845533254624101</v>
      </c>
      <c r="U2">
        <v>0.60706906729634003</v>
      </c>
      <c r="V2">
        <v>0.63778406624884898</v>
      </c>
      <c r="W2">
        <v>2.68918942379472E-2</v>
      </c>
      <c r="X2">
        <v>0.71398762283533301</v>
      </c>
      <c r="Y2">
        <v>0.28492447076028599</v>
      </c>
      <c r="Z2">
        <v>0.35741104952619301</v>
      </c>
      <c r="AA2">
        <v>7.0496283619830902E-2</v>
      </c>
      <c r="AB2">
        <v>6.3156048068769899E-2</v>
      </c>
      <c r="AC2">
        <v>0</v>
      </c>
      <c r="AD2">
        <v>0.69235877004801305</v>
      </c>
      <c r="AE2">
        <v>0.50807028297068102</v>
      </c>
      <c r="AF2">
        <v>0.32977909011373502</v>
      </c>
      <c r="AG2">
        <v>2.6438101487314E-2</v>
      </c>
      <c r="AH2">
        <v>0.21420744199342501</v>
      </c>
      <c r="AI2">
        <v>0</v>
      </c>
      <c r="AJ2">
        <v>0.72785443888142598</v>
      </c>
      <c r="AK2">
        <v>0.12382464281353001</v>
      </c>
      <c r="AL2">
        <v>0.69873102402570397</v>
      </c>
      <c r="AM2">
        <v>0.14697016191628001</v>
      </c>
      <c r="AN2">
        <v>0.55135905721345702</v>
      </c>
      <c r="AO2">
        <v>0.21199391750617699</v>
      </c>
    </row>
    <row r="3" spans="1:41" x14ac:dyDescent="0.35">
      <c r="A3" t="s">
        <v>53</v>
      </c>
      <c r="B3">
        <v>0.14992915139110599</v>
      </c>
      <c r="C3">
        <v>0.24365173972695101</v>
      </c>
      <c r="D3">
        <v>0.143731988472622</v>
      </c>
      <c r="E3">
        <v>0.39512592406966501</v>
      </c>
      <c r="F3">
        <v>0.13700106058820499</v>
      </c>
      <c r="G3">
        <v>0.21691554014242101</v>
      </c>
      <c r="H3">
        <v>0.30067349229565599</v>
      </c>
      <c r="I3">
        <v>0.28138712201095201</v>
      </c>
      <c r="J3">
        <v>1.1044197628623201E-2</v>
      </c>
      <c r="K3">
        <v>0.123424118027047</v>
      </c>
      <c r="L3">
        <v>0.110888455093544</v>
      </c>
      <c r="M3">
        <v>0.255929656054036</v>
      </c>
      <c r="N3">
        <v>0.22885846765290299</v>
      </c>
      <c r="O3">
        <v>0.22656767498343999</v>
      </c>
      <c r="P3">
        <v>0.34173150549586201</v>
      </c>
      <c r="Q3">
        <v>0.68852661479560295</v>
      </c>
      <c r="R3">
        <v>0.132581607713184</v>
      </c>
      <c r="S3">
        <v>0.326925672129672</v>
      </c>
      <c r="T3">
        <v>4.01908697363242E-2</v>
      </c>
      <c r="U3">
        <v>0.25819067296339998</v>
      </c>
      <c r="V3">
        <v>0.28904012083123498</v>
      </c>
      <c r="W3">
        <v>0.27978680925678301</v>
      </c>
      <c r="X3">
        <v>0.20964491448342201</v>
      </c>
      <c r="Y3">
        <v>0.52822314565461603</v>
      </c>
      <c r="Z3">
        <v>0.218027636586549</v>
      </c>
      <c r="AA3">
        <v>0.13473474496181401</v>
      </c>
      <c r="AB3">
        <v>0.15169147100961899</v>
      </c>
      <c r="AC3">
        <v>1.33621823923277E-2</v>
      </c>
      <c r="AD3">
        <v>0.22900704872816399</v>
      </c>
      <c r="AE3">
        <v>0.35110838696496</v>
      </c>
      <c r="AF3">
        <v>0.33970363079615001</v>
      </c>
      <c r="AG3">
        <v>0.473507217847769</v>
      </c>
      <c r="AH3">
        <v>0.71232550383534199</v>
      </c>
      <c r="AI3">
        <v>0.51803325551479296</v>
      </c>
      <c r="AJ3">
        <v>0.20410306508731199</v>
      </c>
      <c r="AK3">
        <v>0.53185981194285004</v>
      </c>
      <c r="AL3">
        <v>0.26164732215382902</v>
      </c>
      <c r="AM3">
        <v>0.28960811566995698</v>
      </c>
      <c r="AN3">
        <v>0.36618513590572099</v>
      </c>
      <c r="AO3">
        <v>0.50058924158905105</v>
      </c>
    </row>
    <row r="4" spans="1:41" x14ac:dyDescent="0.35">
      <c r="A4" t="s">
        <v>52</v>
      </c>
      <c r="B4">
        <v>0.37045950383482101</v>
      </c>
      <c r="C4">
        <v>0.41566766379523601</v>
      </c>
      <c r="D4">
        <v>0.108069164265129</v>
      </c>
      <c r="E4">
        <v>0.118374890364615</v>
      </c>
      <c r="F4">
        <v>0.19615831383310001</v>
      </c>
      <c r="G4">
        <v>0.26033231763775</v>
      </c>
      <c r="H4">
        <v>0.25801898023742298</v>
      </c>
      <c r="I4">
        <v>0.35149154733154098</v>
      </c>
      <c r="J4">
        <v>6.0388839108962401E-2</v>
      </c>
      <c r="K4">
        <v>4.9990622851069998E-2</v>
      </c>
      <c r="L4">
        <v>0.19373952700951799</v>
      </c>
      <c r="M4">
        <v>0.16620311987147299</v>
      </c>
      <c r="N4">
        <v>0.65381430779421501</v>
      </c>
      <c r="O4">
        <v>0.38024398321925301</v>
      </c>
      <c r="P4">
        <v>5.6131900703964399E-2</v>
      </c>
      <c r="Q4">
        <v>0.22852085134411901</v>
      </c>
      <c r="R4">
        <v>0.42654930950203102</v>
      </c>
      <c r="S4">
        <v>0.44551738615405301</v>
      </c>
      <c r="T4">
        <v>0.16135379771743399</v>
      </c>
      <c r="U4">
        <v>0.13474025974025899</v>
      </c>
      <c r="V4">
        <v>7.3175812919914499E-2</v>
      </c>
      <c r="W4">
        <v>0.35603548549504299</v>
      </c>
      <c r="X4">
        <v>7.6367462681243406E-2</v>
      </c>
      <c r="Y4">
        <v>0.17344081610814799</v>
      </c>
      <c r="Z4">
        <v>0.42456131388725699</v>
      </c>
      <c r="AA4">
        <v>0.64189931291665603</v>
      </c>
      <c r="AB4">
        <v>0.78515248092161005</v>
      </c>
      <c r="AC4">
        <v>0.96657992456360897</v>
      </c>
      <c r="AD4">
        <v>7.8608642353662203E-2</v>
      </c>
      <c r="AE4">
        <v>0.140770252324037</v>
      </c>
      <c r="AF4">
        <v>0.33051727909011303</v>
      </c>
      <c r="AG4">
        <v>0.46855861767279</v>
      </c>
      <c r="AH4">
        <v>7.3467054171232504E-2</v>
      </c>
      <c r="AI4">
        <v>0.48196674448520599</v>
      </c>
      <c r="AJ4">
        <v>6.8042496031261404E-2</v>
      </c>
      <c r="AK4">
        <v>0.33659787519843598</v>
      </c>
      <c r="AL4">
        <v>3.9621653820466E-2</v>
      </c>
      <c r="AM4">
        <v>0.55623747721077998</v>
      </c>
      <c r="AN4">
        <v>8.2455806880821103E-2</v>
      </c>
      <c r="AO4">
        <v>0.27099410758410902</v>
      </c>
    </row>
    <row r="6" spans="1:41" x14ac:dyDescent="0.35"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s="2" t="s">
        <v>79</v>
      </c>
      <c r="I6" s="2" t="s">
        <v>80</v>
      </c>
      <c r="J6" t="s">
        <v>81</v>
      </c>
      <c r="K6" t="s">
        <v>82</v>
      </c>
      <c r="L6" s="5" t="s">
        <v>83</v>
      </c>
      <c r="M6" t="s">
        <v>84</v>
      </c>
      <c r="N6" s="5" t="s">
        <v>85</v>
      </c>
      <c r="O6" s="2" t="s">
        <v>86</v>
      </c>
      <c r="P6" s="2" t="s">
        <v>87</v>
      </c>
      <c r="Q6" s="2" t="s">
        <v>88</v>
      </c>
      <c r="R6" s="2" t="s">
        <v>89</v>
      </c>
      <c r="S6" s="2" t="s">
        <v>90</v>
      </c>
      <c r="T6" s="2" t="s">
        <v>91</v>
      </c>
      <c r="U6" t="s">
        <v>92</v>
      </c>
    </row>
    <row r="7" spans="1:41" x14ac:dyDescent="0.35">
      <c r="B7">
        <v>0.86337464113650297</v>
      </c>
      <c r="C7">
        <v>0.75723464302009702</v>
      </c>
      <c r="D7">
        <v>0.82919679701550697</v>
      </c>
      <c r="E7">
        <v>0.81807318827423203</v>
      </c>
      <c r="F7">
        <v>0.83794421772255701</v>
      </c>
      <c r="G7">
        <v>0.83649993459370497</v>
      </c>
      <c r="H7" s="2">
        <v>0.85515778133937703</v>
      </c>
      <c r="I7" s="2">
        <v>0.68241308726725503</v>
      </c>
      <c r="J7">
        <v>0.89546798274557404</v>
      </c>
      <c r="K7">
        <v>0.929829114228505</v>
      </c>
      <c r="L7" s="5">
        <v>0.48798560027497401</v>
      </c>
      <c r="M7">
        <v>0.644813503873365</v>
      </c>
      <c r="N7" s="5">
        <v>0.53651404360751698</v>
      </c>
      <c r="O7" s="2"/>
      <c r="P7" s="2">
        <v>0.79008838992736796</v>
      </c>
      <c r="Q7" s="2">
        <v>0.84159119342196398</v>
      </c>
      <c r="R7" s="2">
        <v>0.61135885828034597</v>
      </c>
      <c r="S7" s="2">
        <v>0.71203412957918499</v>
      </c>
      <c r="T7" s="2">
        <v>0.657101505866444</v>
      </c>
      <c r="U7">
        <v>0.77887246177411396</v>
      </c>
    </row>
    <row r="8" spans="1:41" x14ac:dyDescent="0.35">
      <c r="H8" s="2"/>
      <c r="I8" s="2"/>
      <c r="L8" s="2"/>
    </row>
    <row r="9" spans="1:41" x14ac:dyDescent="0.35">
      <c r="I9" s="5" t="s">
        <v>98</v>
      </c>
      <c r="U9" s="5" t="s">
        <v>97</v>
      </c>
      <c r="W9" s="5" t="s">
        <v>95</v>
      </c>
    </row>
    <row r="10" spans="1:41" x14ac:dyDescent="0.35">
      <c r="I10" s="5">
        <f>AVERAGE(B7:I7)</f>
        <v>0.80998678629615406</v>
      </c>
      <c r="U10" s="5">
        <f>AVERAGE(J7:U7)</f>
        <v>0.71687788941630504</v>
      </c>
      <c r="W10" s="5">
        <f>AVERAGE(I10,U10)</f>
        <v>0.76343233785622955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7C4F-7112-48CC-8600-645EA3A54793}">
  <dimension ref="A1:W24"/>
  <sheetViews>
    <sheetView topLeftCell="A4" workbookViewId="0">
      <selection activeCell="K32" sqref="K32"/>
    </sheetView>
  </sheetViews>
  <sheetFormatPr defaultRowHeight="14.5" x14ac:dyDescent="0.35"/>
  <cols>
    <col min="1" max="1" width="12" customWidth="1"/>
    <col min="8" max="9" width="8.7265625" style="2"/>
    <col min="12" max="12" width="8.7265625" style="2"/>
  </cols>
  <sheetData>
    <row r="1" spans="1:23" x14ac:dyDescent="0.3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s="2" t="s">
        <v>79</v>
      </c>
      <c r="I1" s="2" t="s">
        <v>80</v>
      </c>
      <c r="J1" t="s">
        <v>81</v>
      </c>
      <c r="K1" t="s">
        <v>82</v>
      </c>
      <c r="L1" s="5" t="s">
        <v>83</v>
      </c>
      <c r="M1" t="s">
        <v>84</v>
      </c>
      <c r="N1" s="5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t="s">
        <v>92</v>
      </c>
    </row>
    <row r="2" spans="1:23" x14ac:dyDescent="0.35">
      <c r="A2" t="s">
        <v>93</v>
      </c>
      <c r="B2">
        <v>0.86276146222643102</v>
      </c>
      <c r="C2">
        <v>0.74074689803015803</v>
      </c>
      <c r="D2">
        <v>0.85054928065416602</v>
      </c>
      <c r="E2">
        <v>0.81814633616452004</v>
      </c>
      <c r="F2">
        <v>0.79085038760443604</v>
      </c>
      <c r="G2">
        <v>0.78505091998955501</v>
      </c>
      <c r="H2" s="2">
        <v>-0.33398042471309602</v>
      </c>
      <c r="I2" s="2">
        <v>2.2800072977221301E-2</v>
      </c>
      <c r="J2">
        <v>0.81491130084522601</v>
      </c>
      <c r="K2">
        <v>0.86785674397944002</v>
      </c>
      <c r="L2" s="5">
        <v>-8.4598923649412197E-2</v>
      </c>
      <c r="M2">
        <v>0.21799042590743101</v>
      </c>
      <c r="N2" s="5">
        <v>-8.6805497576840196E-2</v>
      </c>
      <c r="O2" s="2">
        <v>-9.8060428060056895E-2</v>
      </c>
      <c r="P2" s="2">
        <v>0.29753922699669499</v>
      </c>
      <c r="Q2" s="2">
        <v>0.195374044392325</v>
      </c>
      <c r="R2" s="2">
        <v>0.35849302300033697</v>
      </c>
      <c r="S2" s="2">
        <v>-0.279845157467007</v>
      </c>
      <c r="T2" s="2">
        <v>0.12539529152194401</v>
      </c>
      <c r="U2">
        <v>0.64309151947275001</v>
      </c>
    </row>
    <row r="3" spans="1:23" x14ac:dyDescent="0.35">
      <c r="A3" t="s">
        <v>94</v>
      </c>
      <c r="B3">
        <v>0.86337464113650297</v>
      </c>
      <c r="C3">
        <v>0.75723464302009702</v>
      </c>
      <c r="D3">
        <v>0.82919679701550697</v>
      </c>
      <c r="E3">
        <v>0.81807318827423203</v>
      </c>
      <c r="F3">
        <v>0.83794421772255701</v>
      </c>
      <c r="G3">
        <v>0.83649993459370497</v>
      </c>
      <c r="H3" s="2">
        <v>0.85515778133937703</v>
      </c>
      <c r="I3" s="2">
        <v>0.68241308726725503</v>
      </c>
      <c r="J3">
        <v>0.89546798274557404</v>
      </c>
      <c r="K3">
        <v>0.929829114228505</v>
      </c>
      <c r="L3" s="5">
        <v>0.48798560027497401</v>
      </c>
      <c r="M3">
        <v>0.644813503873365</v>
      </c>
      <c r="N3" s="5">
        <v>0.53651404360751698</v>
      </c>
      <c r="O3" s="2">
        <v>0.116225612867807</v>
      </c>
      <c r="P3" s="2">
        <v>0.79008838992736796</v>
      </c>
      <c r="Q3" s="2">
        <v>0.84159119342196398</v>
      </c>
      <c r="R3" s="2">
        <v>0.61135885828034597</v>
      </c>
      <c r="S3" s="2">
        <v>0.71203412957918499</v>
      </c>
      <c r="T3" s="2">
        <v>0.657101505866444</v>
      </c>
      <c r="U3">
        <v>0.77887246177411396</v>
      </c>
    </row>
    <row r="5" spans="1:23" x14ac:dyDescent="0.35">
      <c r="A5" t="s">
        <v>103</v>
      </c>
      <c r="B5" t="s">
        <v>111</v>
      </c>
    </row>
    <row r="6" spans="1:23" x14ac:dyDescent="0.35"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s="2" t="s">
        <v>79</v>
      </c>
      <c r="I6" s="2" t="s">
        <v>80</v>
      </c>
      <c r="J6" t="s">
        <v>81</v>
      </c>
      <c r="K6" t="s">
        <v>82</v>
      </c>
      <c r="L6" s="2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92</v>
      </c>
    </row>
    <row r="7" spans="1:23" x14ac:dyDescent="0.35">
      <c r="A7" t="s">
        <v>93</v>
      </c>
      <c r="B7">
        <v>0.86276146222643102</v>
      </c>
      <c r="C7">
        <v>0.74074689803015803</v>
      </c>
      <c r="D7">
        <v>0.85054928065416602</v>
      </c>
      <c r="E7">
        <v>0.81632449232768201</v>
      </c>
      <c r="F7">
        <v>0.79085038760443604</v>
      </c>
      <c r="G7">
        <v>0.77813793483798299</v>
      </c>
      <c r="H7" s="2">
        <v>0.83075341522976798</v>
      </c>
      <c r="I7" s="2">
        <v>0.70869464818295702</v>
      </c>
      <c r="J7">
        <v>0.81491130084522601</v>
      </c>
      <c r="K7">
        <v>0.86785674397944002</v>
      </c>
      <c r="L7" s="2">
        <v>0.519005742862511</v>
      </c>
      <c r="M7">
        <v>0.69025879886924402</v>
      </c>
      <c r="N7">
        <v>0.65165587962521498</v>
      </c>
      <c r="O7">
        <v>0.44824897491003401</v>
      </c>
      <c r="P7">
        <v>0.81223262502022398</v>
      </c>
      <c r="Q7">
        <v>0.83410906420998399</v>
      </c>
      <c r="R7">
        <v>0.64685998237570397</v>
      </c>
      <c r="S7">
        <v>0.73227374615366603</v>
      </c>
      <c r="T7">
        <v>0.699216950339417</v>
      </c>
      <c r="U7">
        <v>0.86051623569899005</v>
      </c>
    </row>
    <row r="8" spans="1:23" x14ac:dyDescent="0.35">
      <c r="A8" t="s">
        <v>94</v>
      </c>
      <c r="B8">
        <v>0.79314388854752005</v>
      </c>
      <c r="C8">
        <v>0.68072855194797</v>
      </c>
      <c r="D8">
        <v>0.80705331247429002</v>
      </c>
      <c r="E8">
        <v>0.83248747119794897</v>
      </c>
      <c r="F8">
        <v>0.72589040915222303</v>
      </c>
      <c r="G8">
        <v>0.76519008013703005</v>
      </c>
      <c r="H8" s="2">
        <v>0.81451810353786502</v>
      </c>
      <c r="I8" s="2">
        <v>0.64712438732216104</v>
      </c>
      <c r="J8">
        <v>0.82549835384246695</v>
      </c>
      <c r="K8">
        <v>0.84426950577799498</v>
      </c>
      <c r="L8" s="2">
        <v>0.55553431527228103</v>
      </c>
      <c r="M8">
        <v>0.661630562167414</v>
      </c>
      <c r="N8">
        <v>0.38786666163503603</v>
      </c>
      <c r="O8">
        <v>0.10339809520130799</v>
      </c>
      <c r="P8">
        <v>0.71223983573853999</v>
      </c>
      <c r="Q8">
        <v>0.76989121325268495</v>
      </c>
      <c r="R8">
        <v>0.38238477770825502</v>
      </c>
      <c r="S8">
        <v>0.63020158794381798</v>
      </c>
      <c r="T8">
        <v>0.60734894362150005</v>
      </c>
      <c r="U8">
        <v>0.75178680746486903</v>
      </c>
    </row>
    <row r="10" spans="1:23" x14ac:dyDescent="0.35">
      <c r="C10" t="s">
        <v>104</v>
      </c>
      <c r="D10" t="s">
        <v>110</v>
      </c>
    </row>
    <row r="11" spans="1:23" x14ac:dyDescent="0.35">
      <c r="D11" t="s">
        <v>73</v>
      </c>
      <c r="E11" t="s">
        <v>74</v>
      </c>
      <c r="F11" t="s">
        <v>75</v>
      </c>
      <c r="G11" t="s">
        <v>76</v>
      </c>
      <c r="H11" s="2" t="s">
        <v>77</v>
      </c>
      <c r="I11" s="2" t="s">
        <v>78</v>
      </c>
      <c r="J11" t="s">
        <v>79</v>
      </c>
      <c r="K11" t="s">
        <v>80</v>
      </c>
      <c r="L11" s="2" t="s">
        <v>81</v>
      </c>
      <c r="M11" t="s">
        <v>82</v>
      </c>
      <c r="N11" t="s">
        <v>83</v>
      </c>
      <c r="O11" t="s">
        <v>84</v>
      </c>
      <c r="P11" t="s">
        <v>85</v>
      </c>
      <c r="Q11" t="s">
        <v>86</v>
      </c>
      <c r="R11" t="s">
        <v>87</v>
      </c>
      <c r="S11" t="s">
        <v>88</v>
      </c>
      <c r="T11" t="s">
        <v>89</v>
      </c>
      <c r="U11" t="s">
        <v>90</v>
      </c>
      <c r="V11" t="s">
        <v>91</v>
      </c>
      <c r="W11" t="s">
        <v>92</v>
      </c>
    </row>
    <row r="12" spans="1:23" x14ac:dyDescent="0.35">
      <c r="C12" t="s">
        <v>93</v>
      </c>
      <c r="D12">
        <v>0.86276146222643102</v>
      </c>
      <c r="E12">
        <v>0.74074689803015803</v>
      </c>
      <c r="F12">
        <v>0.85054928065416602</v>
      </c>
      <c r="G12">
        <v>0.81632449232768201</v>
      </c>
      <c r="H12" s="2">
        <v>0.79085038760443604</v>
      </c>
      <c r="I12" s="2">
        <v>0.77813793483798299</v>
      </c>
      <c r="J12">
        <v>0.83075341522976798</v>
      </c>
      <c r="K12">
        <v>0.70869464818295702</v>
      </c>
      <c r="L12" s="2">
        <v>0.81491130084522601</v>
      </c>
      <c r="M12">
        <v>0.86785674397944002</v>
      </c>
      <c r="N12">
        <v>0.519005742862511</v>
      </c>
      <c r="O12">
        <v>0.69025879886924402</v>
      </c>
      <c r="P12">
        <v>0.65165587962521498</v>
      </c>
      <c r="Q12">
        <v>0.44824897491003401</v>
      </c>
      <c r="R12">
        <v>0.81223262502022398</v>
      </c>
      <c r="S12">
        <v>0.83410906420998399</v>
      </c>
      <c r="T12">
        <v>0.64685998237570397</v>
      </c>
      <c r="U12">
        <v>0.73227374615366603</v>
      </c>
      <c r="V12">
        <v>0.699216950339417</v>
      </c>
      <c r="W12">
        <v>0.86051623569899005</v>
      </c>
    </row>
    <row r="13" spans="1:23" x14ac:dyDescent="0.35">
      <c r="C13" t="s">
        <v>94</v>
      </c>
      <c r="D13">
        <v>0.86162169849713799</v>
      </c>
      <c r="E13">
        <v>0.75992555180224997</v>
      </c>
      <c r="F13">
        <v>0.82971954888468502</v>
      </c>
      <c r="G13">
        <v>0.85654398939697196</v>
      </c>
      <c r="H13" s="2">
        <v>0.82473059663983705</v>
      </c>
      <c r="I13" s="2">
        <v>0.83422441088653598</v>
      </c>
      <c r="J13">
        <v>0.81846720810871798</v>
      </c>
      <c r="K13">
        <v>0.65046311150809499</v>
      </c>
      <c r="L13" s="2">
        <v>0.89051939662495705</v>
      </c>
      <c r="M13">
        <v>0.92563730644572895</v>
      </c>
      <c r="N13">
        <v>0.48520127072790598</v>
      </c>
      <c r="O13">
        <v>0.627092218289234</v>
      </c>
      <c r="P13">
        <v>0.51003115350874895</v>
      </c>
      <c r="Q13">
        <v>0.10701829802528801</v>
      </c>
      <c r="R13">
        <v>0.78469907763097202</v>
      </c>
      <c r="S13">
        <v>0.824431163590569</v>
      </c>
      <c r="T13">
        <v>0.60443420059796604</v>
      </c>
      <c r="U13">
        <v>0.68051973107670205</v>
      </c>
      <c r="V13">
        <v>0.60760210890564204</v>
      </c>
      <c r="W13">
        <v>0.810415670039763</v>
      </c>
    </row>
    <row r="17" spans="3:23" x14ac:dyDescent="0.35">
      <c r="Q17" s="5"/>
    </row>
    <row r="18" spans="3:23" x14ac:dyDescent="0.35">
      <c r="Q18" s="5"/>
    </row>
    <row r="19" spans="3:23" x14ac:dyDescent="0.35">
      <c r="Q19" s="5"/>
    </row>
    <row r="21" spans="3:23" x14ac:dyDescent="0.35">
      <c r="C21" t="s">
        <v>108</v>
      </c>
      <c r="D21" t="s">
        <v>109</v>
      </c>
    </row>
    <row r="22" spans="3:23" x14ac:dyDescent="0.35">
      <c r="D22" t="s">
        <v>73</v>
      </c>
      <c r="E22" t="s">
        <v>74</v>
      </c>
      <c r="F22" t="s">
        <v>75</v>
      </c>
      <c r="G22" t="s">
        <v>76</v>
      </c>
      <c r="H22" s="2" t="s">
        <v>77</v>
      </c>
      <c r="I22" s="2" t="s">
        <v>78</v>
      </c>
      <c r="J22" t="s">
        <v>79</v>
      </c>
      <c r="K22" t="s">
        <v>80</v>
      </c>
      <c r="L22" s="2" t="s">
        <v>81</v>
      </c>
      <c r="M22" t="s">
        <v>82</v>
      </c>
      <c r="N22" t="s">
        <v>83</v>
      </c>
      <c r="O22" t="s">
        <v>84</v>
      </c>
      <c r="P22" t="s">
        <v>85</v>
      </c>
      <c r="Q22" t="s">
        <v>86</v>
      </c>
      <c r="R22" t="s">
        <v>87</v>
      </c>
      <c r="S22" t="s">
        <v>88</v>
      </c>
      <c r="T22" t="s">
        <v>89</v>
      </c>
      <c r="U22" t="s">
        <v>90</v>
      </c>
      <c r="V22" t="s">
        <v>91</v>
      </c>
      <c r="W22" t="s">
        <v>92</v>
      </c>
    </row>
    <row r="23" spans="3:23" x14ac:dyDescent="0.35">
      <c r="C23" t="s">
        <v>93</v>
      </c>
      <c r="D23">
        <v>0.86276146222643102</v>
      </c>
      <c r="E23">
        <v>0.74074689803015803</v>
      </c>
      <c r="F23">
        <v>0.85054928065416602</v>
      </c>
      <c r="G23">
        <v>0.81632449232768201</v>
      </c>
      <c r="H23" s="2">
        <v>0.79085038760443604</v>
      </c>
      <c r="I23" s="2">
        <v>0.77813793483798299</v>
      </c>
      <c r="J23">
        <v>0.83075341522976798</v>
      </c>
      <c r="K23">
        <v>0.70869464818295702</v>
      </c>
      <c r="L23" s="2">
        <v>0.81491130084522601</v>
      </c>
      <c r="M23">
        <v>0.86785674397944002</v>
      </c>
      <c r="N23">
        <v>0.519005742862511</v>
      </c>
      <c r="O23">
        <v>0.69025879886924402</v>
      </c>
      <c r="P23">
        <v>0.65165587962521498</v>
      </c>
      <c r="Q23">
        <v>0.44824897491003401</v>
      </c>
      <c r="R23">
        <v>0.81223262502022398</v>
      </c>
      <c r="S23">
        <v>0.83410906420998399</v>
      </c>
      <c r="T23">
        <v>0.64685998237570397</v>
      </c>
      <c r="U23">
        <v>0.73227374615366603</v>
      </c>
      <c r="V23">
        <v>0.699216950339417</v>
      </c>
      <c r="W23">
        <v>0.86051623569899005</v>
      </c>
    </row>
    <row r="24" spans="3:23" x14ac:dyDescent="0.35">
      <c r="C24" t="s">
        <v>94</v>
      </c>
      <c r="D24">
        <v>0.87329151349427903</v>
      </c>
      <c r="E24">
        <v>0.80176934340182004</v>
      </c>
      <c r="F24">
        <v>0.83605197895137695</v>
      </c>
      <c r="G24">
        <v>0.81975662023687002</v>
      </c>
      <c r="H24" s="2">
        <v>0.86323686557894896</v>
      </c>
      <c r="I24" s="2">
        <v>0.812628478806532</v>
      </c>
      <c r="J24">
        <v>0.82802463353703104</v>
      </c>
      <c r="K24">
        <v>0.70195784309208198</v>
      </c>
      <c r="L24" s="2">
        <v>0.91350308651576595</v>
      </c>
      <c r="M24">
        <v>0.94134455317763999</v>
      </c>
      <c r="N24">
        <v>0.52561884851548002</v>
      </c>
      <c r="O24">
        <v>0.67635327187948402</v>
      </c>
      <c r="P24">
        <v>0.55221033836424405</v>
      </c>
      <c r="Q24">
        <v>0.11462415329616001</v>
      </c>
      <c r="R24">
        <v>0.79259398999524699</v>
      </c>
      <c r="S24">
        <v>0.85806510180867501</v>
      </c>
      <c r="T24">
        <v>0.61135885828034597</v>
      </c>
      <c r="U24">
        <v>0.71711677060452805</v>
      </c>
      <c r="V24">
        <v>0.66093441773720096</v>
      </c>
      <c r="W24">
        <v>0.81024684304642902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TE_discrete_percentages</vt:lpstr>
      <vt:lpstr>TE_discrete_.1</vt:lpstr>
      <vt:lpstr>TE_discrete_twobinsV1</vt:lpstr>
      <vt:lpstr>interraterReliability windV1</vt:lpstr>
      <vt:lpstr>TE_discrete_twobinsV2</vt:lpstr>
      <vt:lpstr>interraterReliability windV2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Georgiana Cristina Dobre</cp:lastModifiedBy>
  <dcterms:created xsi:type="dcterms:W3CDTF">2025-11-12T13:30:35Z</dcterms:created>
  <dcterms:modified xsi:type="dcterms:W3CDTF">2025-11-27T09:12:34Z</dcterms:modified>
</cp:coreProperties>
</file>