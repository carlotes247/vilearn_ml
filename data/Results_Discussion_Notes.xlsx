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Ex3.xml" ContentType="application/vnd.ms-office.chartex+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Ex4.xml" ContentType="application/vnd.ms-office.chartex+xml"/>
  <Override PartName="/xl/charts/style15.xml" ContentType="application/vnd.ms-office.chartstyle+xml"/>
  <Override PartName="/xl/charts/colors15.xml" ContentType="application/vnd.ms-office.chartcolorsty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obregeo\Documents\GitHub\vilearn_ml\data\"/>
    </mc:Choice>
  </mc:AlternateContent>
  <xr:revisionPtr revIDLastSave="0" documentId="13_ncr:1_{BB3A72A5-9A50-4635-A84C-BA4AB8D5F2D9}" xr6:coauthVersionLast="47" xr6:coauthVersionMax="47" xr10:uidLastSave="{00000000-0000-0000-0000-000000000000}"/>
  <bookViews>
    <workbookView xWindow="-120" yWindow="-120" windowWidth="29040" windowHeight="15720" tabRatio="519" activeTab="2" xr2:uid="{00000000-000D-0000-FFFF-FFFF00000000}"/>
  </bookViews>
  <sheets>
    <sheet name="Sheet1" sheetId="1" r:id="rId1"/>
    <sheet name="BlinkDurationMS" sheetId="5" r:id="rId2"/>
    <sheet name="BlinkRateMinute" sheetId="2" r:id="rId3"/>
    <sheet name="SyncedBlink%" sheetId="3" r:id="rId4"/>
    <sheet name="MeanBlinkAsyncMS" sheetId="4" r:id="rId5"/>
    <sheet name="AsyncBlinkTimeWindow" sheetId="6" r:id="rId6"/>
    <sheet name="Discussion" sheetId="7" r:id="rId7"/>
  </sheets>
  <definedNames>
    <definedName name="_xlchart.v1.0" hidden="1">BlinkDurationMS!$F$2:$F$12</definedName>
    <definedName name="_xlchart.v1.1" hidden="1">BlinkDurationMS!$N$2:$N$15</definedName>
    <definedName name="_xlchart.v1.10" hidden="1">MeanBlinkAsyncMS!$J$2:$J$12</definedName>
    <definedName name="_xlchart.v1.11" hidden="1">MeanBlinkAsyncMS!$Q$2:$Q$15</definedName>
    <definedName name="_xlchart.v1.2" hidden="1">BlinkRateMinute!$F$2:$F$12</definedName>
    <definedName name="_xlchart.v1.3" hidden="1">BlinkRateMinute!$P$2:$P$15</definedName>
    <definedName name="_xlchart.v1.4" hidden="1">'SyncedBlink%'!$D$3</definedName>
    <definedName name="_xlchart.v1.5" hidden="1">'SyncedBlink%'!$E$3</definedName>
    <definedName name="_xlchart.v1.6" hidden="1">'SyncedBlink%'!$M$3:$M$13</definedName>
    <definedName name="_xlchart.v1.7" hidden="1">'SyncedBlink%'!$T$3:$T$16</definedName>
    <definedName name="_xlchart.v1.8" hidden="1">MeanBlinkAsyncMS!$B$3</definedName>
    <definedName name="_xlchart.v1.9" hidden="1">MeanBlinkAsyncMS!$C$3</definedName>
  </definedNames>
  <calcPr calcId="191029"/>
  <pivotCaches>
    <pivotCache cacheId="0" r:id="rId8"/>
    <pivotCache cacheId="1" r:id="rId9"/>
    <pivotCache cacheId="3" r:id="rId10"/>
    <pivotCache cacheId="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L20" i="5" l="1"/>
  <c r="L19" i="5"/>
  <c r="D18" i="5"/>
  <c r="P15" i="2" l="1"/>
  <c r="M15" i="2"/>
  <c r="N15" i="2"/>
  <c r="O15" i="2"/>
  <c r="M14" i="2"/>
  <c r="N14" i="2"/>
  <c r="O14" i="2"/>
  <c r="P14" i="2"/>
  <c r="M13" i="2"/>
  <c r="N13" i="2"/>
  <c r="O13" i="2"/>
  <c r="P13" i="2"/>
  <c r="M12" i="2"/>
  <c r="N12" i="2"/>
  <c r="O12" i="2"/>
  <c r="P12" i="2"/>
  <c r="M11" i="2"/>
  <c r="N11" i="2"/>
  <c r="O11" i="2"/>
  <c r="P11" i="2"/>
  <c r="D14" i="2"/>
  <c r="F12" i="2"/>
  <c r="D74" i="2"/>
  <c r="E74" i="2" s="1"/>
  <c r="P2" i="2"/>
  <c r="P3" i="2"/>
  <c r="P4" i="2"/>
  <c r="P5" i="2"/>
  <c r="P6" i="2"/>
  <c r="P7" i="2"/>
  <c r="P8" i="2"/>
  <c r="P9" i="2"/>
  <c r="P10" i="2"/>
  <c r="F2" i="2"/>
  <c r="F3" i="2"/>
  <c r="F4" i="2"/>
  <c r="F5" i="2"/>
  <c r="F6" i="2"/>
  <c r="F7" i="2"/>
  <c r="F8" i="2"/>
  <c r="F9" i="2"/>
  <c r="F10" i="2"/>
  <c r="F11" i="2"/>
  <c r="O2" i="2" l="1"/>
  <c r="O3" i="2"/>
  <c r="O4" i="2"/>
  <c r="O5" i="2"/>
  <c r="O6" i="2"/>
  <c r="O7" i="2"/>
  <c r="O8" i="2"/>
  <c r="O9" i="2"/>
  <c r="O10" i="2"/>
  <c r="N6" i="2"/>
  <c r="N3" i="2"/>
  <c r="N2" i="2"/>
  <c r="N4" i="2"/>
  <c r="N5" i="2"/>
  <c r="N7" i="2"/>
  <c r="N8" i="2"/>
  <c r="N9" i="2"/>
  <c r="N10" i="2"/>
  <c r="M2" i="2"/>
  <c r="M3" i="2"/>
  <c r="M4" i="2"/>
  <c r="M5" i="2"/>
  <c r="M6" i="2"/>
  <c r="M7" i="2"/>
  <c r="M8" i="2"/>
  <c r="M9" i="2"/>
  <c r="M10" i="2"/>
</calcChain>
</file>

<file path=xl/sharedStrings.xml><?xml version="1.0" encoding="utf-8"?>
<sst xmlns="http://schemas.openxmlformats.org/spreadsheetml/2006/main" count="1367" uniqueCount="278">
  <si>
    <t>Group</t>
  </si>
  <si>
    <t>Start</t>
  </si>
  <si>
    <t>End</t>
  </si>
  <si>
    <t>Notes</t>
  </si>
  <si>
    <t>2023-11-06 16:16:48.000</t>
  </si>
  <si>
    <t>2023-11-06 16:26:55.000</t>
  </si>
  <si>
    <t>The blue Participant is hovering up in the Air through the whole recording.</t>
  </si>
  <si>
    <t>2023-11-06 17:11:36.000</t>
  </si>
  <si>
    <t>2023-11-06 17:19:50.000</t>
  </si>
  <si>
    <t>They are looking at the Teacher all the time.</t>
  </si>
  <si>
    <t>2023-12-19 11:27:21.000</t>
  </si>
  <si>
    <t>2023-12-19 11:39:24.000</t>
  </si>
  <si>
    <t>2023-12-19 11:27:30.000</t>
  </si>
  <si>
    <t>2023-12-19 11:38:30.000</t>
  </si>
  <si>
    <t>People look at the floor a lot in the end. This could be an indicator for noisy data. In General it seems like they would look at each other but the video shows them looking past each other.</t>
  </si>
  <si>
    <t>2023-12-19 11:29:30.000</t>
  </si>
  <si>
    <t>Seems like the recording of two participants of thwo different Groups. At the beginning (01:32) there is a different Person talking that is not the Teacher. They are often times speaking at the same time and about different things(06:00, 06:35 -&gt; 07:00).</t>
  </si>
  <si>
    <t>2023-12-19 15:17:50.000</t>
  </si>
  <si>
    <t>2023-12-19 15:28:46.000</t>
  </si>
  <si>
    <t>2023-12-19 15:19:50.000</t>
  </si>
  <si>
    <t>2023-12-19 15:28:55.000</t>
  </si>
  <si>
    <t>In the beginning they talk ca 2 min about some technical stuff. There is a delay in the Voice recording. You can hear the voice of one of the Participants ca 1 sec in the background before you can hear it in the recording, whlie the girl reacts instant to the voice in the background.</t>
  </si>
  <si>
    <t>2023-12-19 15:18:00.000</t>
  </si>
  <si>
    <t>2023-12-19 15:28:50.000</t>
  </si>
  <si>
    <t>2024-05-07 13:16:40.000</t>
  </si>
  <si>
    <t>They talk in the first 30 Seconds about their positions not beeing correct. Then they decide to do the task anywasy.</t>
  </si>
  <si>
    <t>In the first half of the Video they dont know, what to do. Their avatars are glitching in and out of them at times.</t>
  </si>
  <si>
    <t>2024-06-14 15:36:05.000</t>
  </si>
  <si>
    <t>They are fooling around a lot with their Avatars and the virtual Screens. On top they are only talking about the task a short time and quickly switching to Soccer talks.</t>
  </si>
  <si>
    <t>2023-10-23 16:02:22.000</t>
  </si>
  <si>
    <t>2023-10-23 16:14:43.000</t>
  </si>
  <si>
    <t>People look at the floor a lot, could be beacause there is some UI Control tho.</t>
  </si>
  <si>
    <t>2023-12-19 11:27:50.000</t>
  </si>
  <si>
    <t>2023-12-19 11:38:00.000</t>
  </si>
  <si>
    <t>The Participant in red is floating the whole time. I dont know if the eye data can still be used</t>
  </si>
  <si>
    <t>2023-12-19 13:26:35.000</t>
  </si>
  <si>
    <t>2023-12-19 13:39:14.000</t>
  </si>
  <si>
    <t>The Participant in red is stuck  in the floor the whole time. Seems like they look at each other despite that</t>
  </si>
  <si>
    <t>2024-05-07 13:16:50.000</t>
  </si>
  <si>
    <t>2024-05-07 13:27:30.000</t>
  </si>
  <si>
    <t>In the end they complain a lot about how uncomfertable the headset is.</t>
  </si>
  <si>
    <t>2024-05-07 13:17:17.000</t>
  </si>
  <si>
    <t>2024-05-07 13:27:40.000</t>
  </si>
  <si>
    <t>2024-06-14 11:34:45.000</t>
  </si>
  <si>
    <t>2024-06-14 11:39:00.000</t>
  </si>
  <si>
    <t>The green participant is stuck in the floor and is not audible in the recording. Only the other two girls. After 5 min they just goof around</t>
  </si>
  <si>
    <t>2024-06-14 13:31:05.000</t>
  </si>
  <si>
    <t>2024-06-14 15:42:51.000</t>
  </si>
  <si>
    <t>The Video is cut off in the end mid conversation</t>
  </si>
  <si>
    <t>TRIAD_2023_10_30_Seminar_Munich_No_VAD</t>
  </si>
  <si>
    <t>2023-10-30 16:16:11.000</t>
  </si>
  <si>
    <t>2023-10-30 16:08:39.272</t>
  </si>
  <si>
    <t>Valid for gaze?</t>
  </si>
  <si>
    <t>TODO</t>
  </si>
  <si>
    <t>DYAD_2024_06_14_Seminar_Wue_Session_3_Group_5_TS</t>
  </si>
  <si>
    <t>DYAD_2024_06_14_Seminar_Wue_Session_1_Group_2_TS</t>
  </si>
  <si>
    <t>DYAD_2024_05_07_Seminar_Wue_Session_2_Group_1_TS</t>
  </si>
  <si>
    <t>DYAD_2023_12_19_Seminar_Wue_Session_4_Group_5_TS</t>
  </si>
  <si>
    <t>DYAD_2023_12_19_Seminar_Wue_Session_4_Group_2_TS</t>
  </si>
  <si>
    <t>DYAD_2023_12_19_Seminar_Wue_Session_4_Group_1_TS</t>
  </si>
  <si>
    <t>DYAD_2023_12_19_Seminar_Wue_Session_2_Group_5_TS</t>
  </si>
  <si>
    <t>DYAD_2023_12_19_Seminar_Wue_Session_2_Group_4_TS</t>
  </si>
  <si>
    <t>DYAD_2023_12_19_Seminar_Wue_Session_2_Group_2_TS</t>
  </si>
  <si>
    <t>DYAD_2023_12_19_Seminar_Wue_Session_1_Group_2_TS</t>
  </si>
  <si>
    <t>DYAD_2023_11_06_Seminar_Munich_Session_2_Group_1_TS</t>
  </si>
  <si>
    <t>DYAD_2023_11_06_Seminar_Munich_Session_1_Group_1_TS</t>
  </si>
  <si>
    <t>TRIAD_2023_10_23_Seminar_Munich_Session_1_Group_1_TS</t>
  </si>
  <si>
    <t>TRIAD_2023_12_19_Seminar_Wue_Session_1_Group_1_TS</t>
  </si>
  <si>
    <t>TRIAD_2023_12_19_Seminar_Wue_Session_2_Group_1_TS</t>
  </si>
  <si>
    <t>TRIAD_2023_12_19_Seminar_Wue_Session_3_Group_1_TS</t>
  </si>
  <si>
    <t>TRIAD_2024_05_07_Seminar_Wue_Session_2_Group_2_TS</t>
  </si>
  <si>
    <t>TRIAD_2024_05_07_Seminar_Wue_Session_2_Group_4_TS</t>
  </si>
  <si>
    <t>TRIAD_2024_06_14_Seminar_Wue_Session_1_Group_1_TS</t>
  </si>
  <si>
    <t>TRIAD_2024_06_14_Seminar_Wue_Session_2_Group_1_TS</t>
  </si>
  <si>
    <t>TRIAD_2024_06_14_Seminar_Wue_Session_3_Group_1_TS</t>
  </si>
  <si>
    <t>TRIAD_2024_06_14_Seminar_Wue_Session_3_Group_2_TS</t>
  </si>
  <si>
    <t xml:space="preserve">No video - all participant silent. </t>
  </si>
  <si>
    <t xml:space="preserve">Should this still be used as we don't really mind about the voice? However we can't use it when we look at cognition; </t>
  </si>
  <si>
    <t>Valid for Blinks?</t>
  </si>
  <si>
    <t>2024-05-07 13:30:15.000</t>
  </si>
  <si>
    <t>2024-06-14 11:34:05.000</t>
  </si>
  <si>
    <t>2024-06-14 11:43:35.000</t>
  </si>
  <si>
    <t>2024-06-14 15:42:50.000</t>
  </si>
  <si>
    <t>2024-06-14 13:38:20.000</t>
  </si>
  <si>
    <t>2024-06-14 15:36:10.000</t>
  </si>
  <si>
    <t>2024-06-14 15:42:30.000</t>
  </si>
  <si>
    <t>[added more minutes at the end as they are still discussing, even though prob low cog]The data is valid, but they only talk about the tasks a very short time and play a lot with the virtual tablets etc.</t>
  </si>
  <si>
    <t>2024-06-14 15:35:30.000</t>
  </si>
  <si>
    <t>P1</t>
  </si>
  <si>
    <t>P2</t>
  </si>
  <si>
    <t>P3</t>
  </si>
  <si>
    <t>Dyads</t>
  </si>
  <si>
    <t>avg_P1P2</t>
  </si>
  <si>
    <t>avg_P1P3</t>
  </si>
  <si>
    <t>avg_P2P3</t>
  </si>
  <si>
    <t>P1_P2_AVG</t>
  </si>
  <si>
    <t>avg_P123</t>
  </si>
  <si>
    <t>Variable 1</t>
  </si>
  <si>
    <t>Variable 2</t>
  </si>
  <si>
    <t>Mean</t>
  </si>
  <si>
    <t>Variance</t>
  </si>
  <si>
    <t>Observations</t>
  </si>
  <si>
    <t>Hypothesized Mean Difference</t>
  </si>
  <si>
    <t>df</t>
  </si>
  <si>
    <t>t Stat</t>
  </si>
  <si>
    <t>P(T&lt;=t) one-tail</t>
  </si>
  <si>
    <t>t Critical one-tail</t>
  </si>
  <si>
    <t>P(T&lt;=t) two-tail</t>
  </si>
  <si>
    <t>t Critical two-tail</t>
  </si>
  <si>
    <t>t-Test: Two-Sample Assuming Equal Variances</t>
  </si>
  <si>
    <t>Pooled Variance</t>
  </si>
  <si>
    <t>here is for the average group blink rate</t>
  </si>
  <si>
    <t>r=</t>
  </si>
  <si>
    <t>R^2</t>
  </si>
  <si>
    <t>p=</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</si>
  <si>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</si>
  <si>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</si>
  <si>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</si>
  <si>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</si>
  <si>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</si>
  <si>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</si>
  <si>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</si>
  <si>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</si>
  <si>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</si>
  <si>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</si>
  <si>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</si>
  <si>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</si>
  <si>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</si>
  <si>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</si>
  <si>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</si>
  <si>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</si>
  <si>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</si>
  <si>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</si>
  <si>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</si>
  <si>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95.0%</t>
  </si>
  <si>
    <t>Upper 95.0%</t>
  </si>
  <si>
    <t>X Variable 1</t>
  </si>
  <si>
    <t>Dyad</t>
  </si>
  <si>
    <t>Triad</t>
  </si>
  <si>
    <t>Triads</t>
  </si>
  <si>
    <t>not synced, confirmed by laura</t>
  </si>
  <si>
    <t>synced, confirmed by laura</t>
  </si>
  <si>
    <t xml:space="preserve"> start: 2024-05-07 11:36:51.956</t>
  </si>
  <si>
    <t>start: 2024-05-07 11:36:41.619</t>
  </si>
  <si>
    <t>end: 2024-05-07 11:40:34.824</t>
  </si>
  <si>
    <t>end: 2024-05-07 11:43:38.342</t>
  </si>
  <si>
    <t>s: 2024-11-04 15:46:54.168</t>
  </si>
  <si>
    <t>e: 2024-11-04 15:56:38.717</t>
  </si>
  <si>
    <t>e:2024-11-04 17:15:10.815</t>
  </si>
  <si>
    <t>s: 2024-11-04 17:06:11.026</t>
  </si>
  <si>
    <t>s: 2024-11-11 15:49:25.519</t>
  </si>
  <si>
    <t>e: 2024-11-11 15:57:00.444</t>
  </si>
  <si>
    <t>s: 2024-11-18 15:50:30.315</t>
  </si>
  <si>
    <t>e: 2024-11-18 16:00:45.857</t>
  </si>
  <si>
    <t>TRIAD_2024_05_07_Seminar_Wue_Session_1_Group_4_TS</t>
  </si>
  <si>
    <t>TRIAD_2024_05_07_Seminar_Wue_Session_1_Group_2_TS</t>
  </si>
  <si>
    <t>TRIAD_2024_11_04_Seminar_Mun_Session_1_Group_1_TS</t>
  </si>
  <si>
    <t>DYAD_2024_11_04_Seminar_Mun_Session_1_Group_2_TS</t>
  </si>
  <si>
    <t>TRIAD_2024_11_11_Seminar_Mun_Session_1_Group_1_TS</t>
  </si>
  <si>
    <t>TRIAD_2024_11_18_Seminar_Mun_Session_1_Group_1_TS</t>
  </si>
  <si>
    <t>F-Test Two-Sample for Variances</t>
  </si>
  <si>
    <t>P(F&lt;=f) one-tail</t>
  </si>
  <si>
    <t>F Critical one-tail</t>
  </si>
  <si>
    <t>group_name</t>
  </si>
  <si>
    <t>P3_mean_blink_duration_ms</t>
  </si>
  <si>
    <t>group_size</t>
  </si>
  <si>
    <t>P1_mean_blink_duration_ms</t>
  </si>
  <si>
    <t>P2_mean_blink_duration_ms</t>
  </si>
  <si>
    <t>group_mean_blink_duration_ms</t>
  </si>
  <si>
    <t>DYADS</t>
  </si>
  <si>
    <t>M</t>
  </si>
  <si>
    <t>SD</t>
  </si>
  <si>
    <t>SE</t>
  </si>
  <si>
    <t>TRIADS</t>
  </si>
  <si>
    <t>t-Test: Two-Sample Assuming Unequal Variances</t>
  </si>
  <si>
    <t>count_blinks_participant_reference</t>
  </si>
  <si>
    <t>count_sync_blinks</t>
  </si>
  <si>
    <t>percent_sync_blinks</t>
  </si>
  <si>
    <t>sd</t>
  </si>
  <si>
    <t>se</t>
  </si>
  <si>
    <t>avg_blinks_async_ms</t>
  </si>
  <si>
    <t>group index</t>
  </si>
  <si>
    <t>-1500</t>
  </si>
  <si>
    <t>-1250</t>
  </si>
  <si>
    <t>-1000</t>
  </si>
  <si>
    <t>-750</t>
  </si>
  <si>
    <t>-500</t>
  </si>
  <si>
    <t>-250</t>
  </si>
  <si>
    <t>0</t>
  </si>
  <si>
    <t>250</t>
  </si>
  <si>
    <t>500</t>
  </si>
  <si>
    <t>750</t>
  </si>
  <si>
    <t>1000</t>
  </si>
  <si>
    <t>1250</t>
  </si>
  <si>
    <t>*</t>
  </si>
  <si>
    <t>**</t>
  </si>
  <si>
    <t>dyads</t>
  </si>
  <si>
    <t>triads</t>
  </si>
  <si>
    <t>P1 vs P2</t>
  </si>
  <si>
    <t>dyads [0 : 250ms]</t>
  </si>
  <si>
    <t>triads [0 : 250ms]</t>
  </si>
  <si>
    <t>Blink Duration</t>
  </si>
  <si>
    <t>Blink Rate</t>
  </si>
  <si>
    <t>% synced blinks</t>
  </si>
  <si>
    <t>Asynced blinks temporal</t>
  </si>
  <si>
    <t>Mean Asynced blinks time</t>
  </si>
  <si>
    <t>no significant diff</t>
  </si>
  <si>
    <t>higher per dyads</t>
  </si>
  <si>
    <t>higher mean async for triads</t>
  </si>
  <si>
    <t>no sig diff between dyads and tryads;</t>
  </si>
  <si>
    <t>ÇAKIR&amp;HUCKAUF 2024</t>
  </si>
  <si>
    <t>less in self-mirror than in dyad-mirror</t>
  </si>
  <si>
    <t>Studies</t>
  </si>
  <si>
    <t>ours</t>
  </si>
  <si>
    <t>more sig bins in dyads, different distribution</t>
  </si>
  <si>
    <t>no significant difference</t>
  </si>
  <si>
    <t>higher in dyad than in self-mirror</t>
  </si>
  <si>
    <t xml:space="preserve">no significant difference; </t>
  </si>
  <si>
    <t>Ours - explanations</t>
  </si>
  <si>
    <t>C&amp;H 2024 - exaplanations</t>
  </si>
  <si>
    <t xml:space="preserve">The blink rate is within the normal standard values for conversations (26.1[1]-for one person talking in a dyad, 26[2]-for one person talking without recalling info). This value is lower for triads, however this can be explained by the presence of a bystander within the group during the conversation who would behave as in a 'lecture' [1]. (But check lit on blink rate in triads) ([1]Al-Abdulmunem&amp;Briggs, 1999; [2]Bentivoglio et al. 2004);
The Absolute amount of blinks could be regarded as a factor responsible for the observed effects (on the mean async blinks time). In short, the 'blink rate' difference could affect the 'mean asynced blinks time'.  </t>
  </si>
  <si>
    <t xml:space="preserve">Even though there is no significant difference between dyads and triads, we can see a higher avg for dyads (0.61) compared to triads (0.51). The non-significant difference seen in the blink rate could have affected the difference in the % synced blinks, however, a follow up study with a bigger population is needed to confirm this idea. </t>
  </si>
  <si>
    <t>During the same task, the temporal structure of the asynced blinks was very similar, with the only slight perceivable difference not significant (see timewidow [0-250ms]).
Although the blink rate was higher in the dyad setting and for triads there was a higher lag  between the onset reference blink and test blink, these did not affect the general temporal structure seen for dyads and triads.
This scructure is similar to previous literature on dyadic interaction [ref C&amp;H2024]</t>
  </si>
  <si>
    <r>
      <t>The higher mean asynced blinks time f</t>
    </r>
    <r>
      <rPr>
        <i/>
        <sz val="11"/>
        <color theme="1"/>
        <rFont val="Calibri"/>
        <family val="2"/>
        <scheme val="minor"/>
      </rPr>
      <t>o</t>
    </r>
    <r>
      <rPr>
        <sz val="11"/>
        <color theme="1"/>
        <rFont val="Calibri"/>
        <family val="2"/>
        <scheme val="minor"/>
      </rPr>
      <t xml:space="preserve">r triads (lag between the reference blink onset and the synced blink onset of the other participant) could be an effect of the significantly lower blink rate in triads compared to dyads. </t>
    </r>
  </si>
  <si>
    <t>Currently using for Gaze analysis</t>
  </si>
  <si>
    <t>Potential using for Gaze analysis</t>
  </si>
  <si>
    <t>5 dyads - 3234s</t>
  </si>
  <si>
    <t>6 triads - 3031s</t>
  </si>
  <si>
    <t>6 dyads -&gt; +1</t>
  </si>
  <si>
    <t>11-12 triads -&gt; +5,6</t>
  </si>
  <si>
    <t>dyad - triad</t>
  </si>
  <si>
    <t>VR - free flow conv</t>
  </si>
  <si>
    <t xml:space="preserve">VR - don't see the gaze: blink; </t>
  </si>
  <si>
    <t>don't look at eachother; &lt; add to these</t>
  </si>
  <si>
    <t>similar setting in non-vr</t>
  </si>
  <si>
    <t>group_name_short</t>
  </si>
  <si>
    <t>dyad_01</t>
  </si>
  <si>
    <t>dyad_02</t>
  </si>
  <si>
    <t>dyad_03</t>
  </si>
  <si>
    <t>dyad_04</t>
  </si>
  <si>
    <t>dyad_05</t>
  </si>
  <si>
    <t>dyad_06</t>
  </si>
  <si>
    <t>dyad_07</t>
  </si>
  <si>
    <t>dyad_08</t>
  </si>
  <si>
    <t>dyad_09</t>
  </si>
  <si>
    <t>dyad_10</t>
  </si>
  <si>
    <t>dyad_11</t>
  </si>
  <si>
    <t>triad_01</t>
  </si>
  <si>
    <t>triad_02</t>
  </si>
  <si>
    <t>triad_03</t>
  </si>
  <si>
    <t>triad_04</t>
  </si>
  <si>
    <t>triad_05</t>
  </si>
  <si>
    <t>triad_06</t>
  </si>
  <si>
    <t>triad_07</t>
  </si>
  <si>
    <t>triad_08</t>
  </si>
  <si>
    <t>triad_09</t>
  </si>
  <si>
    <t>triad_10</t>
  </si>
  <si>
    <t>triad_11</t>
  </si>
  <si>
    <t>triad_12</t>
  </si>
  <si>
    <t>triad_13</t>
  </si>
  <si>
    <t>triad_14</t>
  </si>
  <si>
    <t>Gender analysis</t>
  </si>
  <si>
    <t>P1_gender</t>
  </si>
  <si>
    <t>P2_gender</t>
  </si>
  <si>
    <t>P3_gender</t>
  </si>
  <si>
    <t>Blue</t>
  </si>
  <si>
    <t>Green</t>
  </si>
  <si>
    <t>Red</t>
  </si>
  <si>
    <t>Row Labels</t>
  </si>
  <si>
    <t>Grand Total</t>
  </si>
  <si>
    <t>gender</t>
  </si>
  <si>
    <t>mean_blink_duration_ms</t>
  </si>
  <si>
    <t>Average of mean_blink_duration_ms</t>
  </si>
  <si>
    <t>short_group_name</t>
  </si>
  <si>
    <t>BRM</t>
  </si>
  <si>
    <t>Average of BRM</t>
  </si>
  <si>
    <t>f</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</si>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</sst>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9.8000000000000007"/>
      <name val="JetBrains Mono"/>
      <family val="3"/>
    </font>
    <font>
      <i/>
      <sz val="11"/>
      <color theme="1"/>
      <name val="Calibri"/>
      <family val="2"/>
      <scheme val="minor"/>
    </font>
    <font>
      <sz val="11"/>
      <name val="Calibri"/>
      <family val="2"/>
      <scheme val="minor"/>
    </font>
    <font>
      <sz val="8"/>
      <name val="Calibri"/>
      <family val="2"/>
      <scheme val="minor"/>
    </font>
    <font>
      <sz val="9.8000000000000007"/>
      <color rgb="FFBCBEC4"/>
      <name val="JetBrains Mono"/>
      <family val="3"/>
    </font>
    <font>
      <b/>
      <i/>
      <sz val="11"/>
      <color theme="1"/>
      <name val="Calibri"/>
      <family val="2"/>
      <scheme val="minor"/>
    </font>
    <font>
      <b/>
      <sz val="11"/>
      <color theme="0"/>
      <name val="Calibri"/>
      <family val="2"/>
      <scheme val="minor"/>
    </font>
    <font>
      <sz val="11"/>
      <color rgb="FFFF0000"/>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1"/>
        <bgColor theme="1"/>
      </patternFill>
    </fill>
  </fills>
  <borders count="8">
    <border>
      <left/>
      <right/>
      <top/>
      <bottom/>
      <diagonal/>
    </border>
    <border>
      <left/>
      <right/>
      <top/>
      <bottom style="medium">
        <color indexed="64"/>
      </bottom>
      <diagonal/>
    </border>
    <border>
      <left/>
      <right/>
      <top style="medium">
        <color indexed="64"/>
      </top>
      <bottom style="thin">
        <color indexed="64"/>
      </bottom>
      <diagonal/>
    </border>
    <border>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s>
  <cellStyleXfs count="1">
    <xf numFmtId="0" fontId="0" fillId="0" borderId="0"/>
  </cellStyleXfs>
  <cellXfs count="38">
    <xf numFmtId="0" fontId="0" fillId="0" borderId="0" xfId="0"/>
    <xf numFmtId="49" fontId="0" fillId="0" borderId="0" xfId="0" applyNumberFormat="1"/>
    <xf numFmtId="0" fontId="2" fillId="0" borderId="0" xfId="0" applyFont="1" applyAlignment="1">
      <alignment vertical="center"/>
    </xf>
    <xf numFmtId="0" fontId="0" fillId="0" borderId="1" xfId="0" applyBorder="1"/>
    <xf numFmtId="0" fontId="3" fillId="0" borderId="2" xfId="0" applyFont="1" applyBorder="1" applyAlignment="1">
      <alignment horizontal="center"/>
    </xf>
    <xf numFmtId="0" fontId="3" fillId="0" borderId="0" xfId="0" applyFont="1"/>
    <xf numFmtId="0" fontId="1" fillId="0" borderId="0" xfId="0" applyFont="1"/>
    <xf numFmtId="0" fontId="2" fillId="2" borderId="0" xfId="0" applyFont="1" applyFill="1" applyAlignment="1">
      <alignment vertical="center"/>
    </xf>
    <xf numFmtId="0" fontId="3" fillId="0" borderId="2" xfId="0" applyFont="1" applyBorder="1" applyAlignment="1">
      <alignment horizontal="centerContinuous"/>
    </xf>
    <xf numFmtId="0" fontId="3" fillId="0" borderId="0" xfId="0" applyFont="1" applyAlignment="1">
      <alignment horizontal="center"/>
    </xf>
    <xf numFmtId="0" fontId="4" fillId="0" borderId="0" xfId="0" applyFont="1"/>
    <xf numFmtId="0" fontId="0" fillId="3" borderId="0" xfId="0" applyFill="1"/>
    <xf numFmtId="47" fontId="0" fillId="0" borderId="0" xfId="0" applyNumberFormat="1"/>
    <xf numFmtId="0" fontId="6" fillId="0" borderId="0" xfId="0" applyFont="1" applyAlignment="1">
      <alignment vertical="center"/>
    </xf>
    <xf numFmtId="0" fontId="7" fillId="0" borderId="2" xfId="0" applyFont="1" applyBorder="1" applyAlignment="1">
      <alignment horizontal="center"/>
    </xf>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8" fillId="4" borderId="5" xfId="0" applyFont="1" applyFill="1" applyBorder="1"/>
    <xf numFmtId="0" fontId="0" fillId="0" borderId="4" xfId="0" applyBorder="1"/>
    <xf numFmtId="0" fontId="0" fillId="0" borderId="5" xfId="0" applyBorder="1"/>
    <xf numFmtId="0" fontId="0" fillId="0" borderId="7" xfId="0" applyBorder="1"/>
    <xf numFmtId="0" fontId="0" fillId="0" borderId="3" xfId="0" applyBorder="1"/>
    <xf numFmtId="0" fontId="9" fillId="3" borderId="0" xfId="0" applyFont="1" applyFill="1"/>
    <xf numFmtId="0" fontId="0" fillId="0" borderId="0" xfId="0" pivotButton="1"/>
    <xf numFmtId="0" fontId="0" fillId="0" borderId="0" xfId="0" applyAlignment="1">
      <alignment horizontal="left"/>
    </xf>
    <xf numFmtId="0" fontId="8" fillId="4" borderId="0" xfId="0" applyFont="1" applyFill="1"/>
    <xf numFmtId="0" fontId="2" fillId="0" borderId="5" xfId="0" applyFont="1" applyBorder="1" applyAlignment="1">
      <alignment vertical="center"/>
    </xf>
    <xf numFmtId="0" fontId="2" fillId="2" borderId="5" xfId="0" applyFont="1" applyFill="1" applyBorder="1" applyAlignment="1">
      <alignment vertical="center"/>
    </xf>
    <xf numFmtId="0" fontId="2" fillId="0" borderId="3" xfId="0" applyFont="1" applyBorder="1" applyAlignment="1">
      <alignment vertical="center"/>
    </xf>
    <xf numFmtId="0" fontId="2" fillId="0" borderId="6" xfId="0" applyFont="1" applyBorder="1" applyAlignment="1">
      <alignment vertical="center"/>
    </xf>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
    </xf>
    <xf numFmtId="0" fontId="0" fillId="0" borderId="0" xfId="0" applyBorder="1"/>
    <xf numFmtId="0" fontId="3" fillId="0" borderId="0" xfId="0" applyFont="1" applyFill="1" applyBorder="1" applyAlignment="1">
      <alignment horizontal="center"/>
    </xf>
    <xf numFmtId="0" fontId="0" fillId="0" borderId="0" xfId="0" applyFont="1" applyBorder="1"/>
    <xf numFmtId="0" fontId="0" fillId="0" borderId="0" xfId="0" applyNumberFormat="1"/>
  </cellXfs>
  <cellStyles count="1">
    <cellStyle name="Normal" xfId="0" builtinId="0"/>
  </cellStyles>
  <dxfs count="4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bottom style="thin">
          <color theme="1"/>
        </bottom>
      </border>
    </dxf>
    <dxf>
      <font>
        <b val="0"/>
        <i val="0"/>
        <strike val="0"/>
        <condense val="0"/>
        <extend val="0"/>
        <outline val="0"/>
        <shadow val="0"/>
        <u val="none"/>
        <vertAlign val="baseline"/>
        <sz val="11"/>
        <color theme="1"/>
        <name val="Calibri"/>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bottom style="thin">
          <color theme="1"/>
        </bottom>
      </border>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9.8000000000000007"/>
        <color auto="1"/>
        <name val="JetBrains Mono"/>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Dyads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Corralation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24151771653543308"/>
                  <c:y val="-0.118674980656319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BlinkRateMinute!$E$2:$E$12</c:f>
              <c:numCache>
                <c:formatCode>General</c:formatCode>
                <c:ptCount val="11"/>
                <c:pt idx="0">
                  <c:v>30.938687999999999</c:v>
                </c:pt>
                <c:pt idx="1">
                  <c:v>31.456980000000001</c:v>
                </c:pt>
                <c:pt idx="2">
                  <c:v>34.357607000000002</c:v>
                </c:pt>
                <c:pt idx="3">
                  <c:v>39.090671999999998</c:v>
                </c:pt>
                <c:pt idx="4">
                  <c:v>30.456852999999999</c:v>
                </c:pt>
                <c:pt idx="5">
                  <c:v>38.751725</c:v>
                </c:pt>
                <c:pt idx="6">
                  <c:v>41.354227999999999</c:v>
                </c:pt>
                <c:pt idx="7">
                  <c:v>25.324967000000001</c:v>
                </c:pt>
                <c:pt idx="8">
                  <c:v>24.631449</c:v>
                </c:pt>
                <c:pt idx="9">
                  <c:v>20.296095999999999</c:v>
                </c:pt>
                <c:pt idx="10">
                  <c:v>35.347144999999998</c:v>
                </c:pt>
              </c:numCache>
            </c:numRef>
          </c:xVal>
          <c:yVal>
            <c:numRef>
              <c:f>BlinkRateMinute!$D$2:$D$12</c:f>
              <c:numCache>
                <c:formatCode>General</c:formatCode>
                <c:ptCount val="11"/>
                <c:pt idx="0">
                  <c:v>2.4711409999999998</c:v>
                </c:pt>
                <c:pt idx="1">
                  <c:v>32.792991000000001</c:v>
                </c:pt>
                <c:pt idx="2">
                  <c:v>32.033904</c:v>
                </c:pt>
                <c:pt idx="3">
                  <c:v>38.272494999999999</c:v>
                </c:pt>
                <c:pt idx="4">
                  <c:v>17.652170000000002</c:v>
                </c:pt>
                <c:pt idx="5">
                  <c:v>13.541086</c:v>
                </c:pt>
                <c:pt idx="6">
                  <c:v>22.615593000000001</c:v>
                </c:pt>
                <c:pt idx="7">
                  <c:v>60.294035000000001</c:v>
                </c:pt>
                <c:pt idx="8">
                  <c:v>5.3683930000000002</c:v>
                </c:pt>
                <c:pt idx="9">
                  <c:v>27.407136999999999</c:v>
                </c:pt>
                <c:pt idx="10">
                  <c:v>18.118190999999999</c:v>
                </c:pt>
              </c:numCache>
            </c:numRef>
          </c:yVal>
          <c:smooth val="0"/>
          <c:extLst>
            <c:ext xmlns:c16="http://schemas.microsoft.com/office/drawing/2014/chart" uri="{C3380CC4-5D6E-409C-BE32-E72D297353CC}">
              <c16:uniqueId val="{00000000-28BF-4713-B605-5BD6560A6274}"/>
            </c:ext>
          </c:extLst>
        </c:ser>
        <c:dLbls>
          <c:showLegendKey val="0"/>
          <c:showVal val="0"/>
          <c:showCatName val="0"/>
          <c:showSerName val="0"/>
          <c:showPercent val="0"/>
          <c:showBubbleSize val="0"/>
        </c:dLbls>
        <c:axId val="1644294783"/>
        <c:axId val="1644301983"/>
      </c:scatterChart>
      <c:valAx>
        <c:axId val="164429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1983"/>
        <c:crosses val="autoZero"/>
        <c:crossBetween val="midCat"/>
      </c:valAx>
      <c:valAx>
        <c:axId val="16443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947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BlinkRateMinute!$K$1</c:f>
              <c:strCache>
                <c:ptCount val="1"/>
                <c:pt idx="0">
                  <c:v>P2</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BlinkRateMinute!$J$2:$J$15</c:f>
              <c:numCache>
                <c:formatCode>General</c:formatCode>
                <c:ptCount val="14"/>
                <c:pt idx="0">
                  <c:v>13.27946</c:v>
                </c:pt>
                <c:pt idx="1">
                  <c:v>18.098331000000002</c:v>
                </c:pt>
                <c:pt idx="2">
                  <c:v>2.2134100000000001</c:v>
                </c:pt>
                <c:pt idx="3">
                  <c:v>24.187462</c:v>
                </c:pt>
                <c:pt idx="4">
                  <c:v>13.098208</c:v>
                </c:pt>
                <c:pt idx="5">
                  <c:v>9.9307610000000004</c:v>
                </c:pt>
                <c:pt idx="6">
                  <c:v>18.789473999999998</c:v>
                </c:pt>
                <c:pt idx="7">
                  <c:v>13.606121</c:v>
                </c:pt>
                <c:pt idx="8">
                  <c:v>31.080375</c:v>
                </c:pt>
                <c:pt idx="9">
                  <c:v>32.160544999999999</c:v>
                </c:pt>
                <c:pt idx="10">
                  <c:v>15.797788000000001</c:v>
                </c:pt>
                <c:pt idx="11">
                  <c:v>21.965651999999999</c:v>
                </c:pt>
                <c:pt idx="12">
                  <c:v>18.728362000000001</c:v>
                </c:pt>
                <c:pt idx="13">
                  <c:v>28.657671000000001</c:v>
                </c:pt>
              </c:numCache>
            </c:numRef>
          </c:xVal>
          <c:yVal>
            <c:numRef>
              <c:f>BlinkRateMinute!$K$2:$K$15</c:f>
              <c:numCache>
                <c:formatCode>General</c:formatCode>
                <c:ptCount val="14"/>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pt idx="9">
                  <c:v>19.296327000000002</c:v>
                </c:pt>
                <c:pt idx="10">
                  <c:v>20.227074999999999</c:v>
                </c:pt>
                <c:pt idx="11">
                  <c:v>14.677982999999999</c:v>
                </c:pt>
                <c:pt idx="12">
                  <c:v>28.883882</c:v>
                </c:pt>
                <c:pt idx="13">
                  <c:v>20.567240000000002</c:v>
                </c:pt>
              </c:numCache>
            </c:numRef>
          </c:yVal>
          <c:smooth val="0"/>
          <c:extLst>
            <c:ext xmlns:c16="http://schemas.microsoft.com/office/drawing/2014/chart" uri="{C3380CC4-5D6E-409C-BE32-E72D297353CC}">
              <c16:uniqueId val="{00000000-64BC-4D09-8ED7-874235FD19D4}"/>
            </c:ext>
          </c:extLst>
        </c:ser>
        <c:dLbls>
          <c:showLegendKey val="0"/>
          <c:showVal val="0"/>
          <c:showCatName val="0"/>
          <c:showSerName val="0"/>
          <c:showPercent val="0"/>
          <c:showBubbleSize val="0"/>
        </c:dLbls>
        <c:axId val="1655692223"/>
        <c:axId val="1655694143"/>
        <c:extLst>
          <c:ext xmlns:c15="http://schemas.microsoft.com/office/drawing/2012/chart" uri="{02D57815-91ED-43cb-92C2-25804820EDAC}">
            <c15:filteredScatterSeries>
              <c15:ser>
                <c:idx val="1"/>
                <c:order val="1"/>
                <c:tx>
                  <c:strRef>
                    <c:extLst>
                      <c:ext uri="{02D57815-91ED-43cb-92C2-25804820EDAC}">
                        <c15:formulaRef>
                          <c15:sqref>BlinkRateMinute!$L$1</c15:sqref>
                        </c15:formulaRef>
                      </c:ext>
                    </c:extLst>
                    <c:strCache>
                      <c:ptCount val="1"/>
                      <c:pt idx="0">
                        <c:v>P3</c:v>
                      </c:pt>
                    </c:strCache>
                  </c:strRef>
                </c:tx>
                <c:spPr>
                  <a:ln w="1905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BlinkRateMinute!$J$2:$J$15</c15:sqref>
                        </c15:formulaRef>
                      </c:ext>
                    </c:extLst>
                    <c:numCache>
                      <c:formatCode>General</c:formatCode>
                      <c:ptCount val="14"/>
                      <c:pt idx="0">
                        <c:v>13.27946</c:v>
                      </c:pt>
                      <c:pt idx="1">
                        <c:v>18.098331000000002</c:v>
                      </c:pt>
                      <c:pt idx="2">
                        <c:v>2.2134100000000001</c:v>
                      </c:pt>
                      <c:pt idx="3">
                        <c:v>24.187462</c:v>
                      </c:pt>
                      <c:pt idx="4">
                        <c:v>13.098208</c:v>
                      </c:pt>
                      <c:pt idx="5">
                        <c:v>9.9307610000000004</c:v>
                      </c:pt>
                      <c:pt idx="6">
                        <c:v>18.789473999999998</c:v>
                      </c:pt>
                      <c:pt idx="7">
                        <c:v>13.606121</c:v>
                      </c:pt>
                      <c:pt idx="8">
                        <c:v>31.080375</c:v>
                      </c:pt>
                      <c:pt idx="9">
                        <c:v>32.160544999999999</c:v>
                      </c:pt>
                      <c:pt idx="10">
                        <c:v>15.797788000000001</c:v>
                      </c:pt>
                      <c:pt idx="11">
                        <c:v>21.965651999999999</c:v>
                      </c:pt>
                      <c:pt idx="12">
                        <c:v>18.728362000000001</c:v>
                      </c:pt>
                      <c:pt idx="13">
                        <c:v>28.657671000000001</c:v>
                      </c:pt>
                    </c:numCache>
                  </c:numRef>
                </c:xVal>
                <c:yVal>
                  <c:numRef>
                    <c:extLst>
                      <c:ext uri="{02D57815-91ED-43cb-92C2-25804820EDAC}">
                        <c15:formulaRef>
                          <c15:sqref>BlinkRateMinute!$L$2:$L$15</c15:sqref>
                        </c15:formulaRef>
                      </c:ext>
                    </c:extLst>
                    <c:numCache>
                      <c:formatCode>General</c:formatCode>
                      <c:ptCount val="14"/>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pt idx="9">
                        <c:v>21.611886999999999</c:v>
                      </c:pt>
                      <c:pt idx="10">
                        <c:v>18.307717</c:v>
                      </c:pt>
                      <c:pt idx="11">
                        <c:v>21.452435999999999</c:v>
                      </c:pt>
                      <c:pt idx="12">
                        <c:v>17.541353000000001</c:v>
                      </c:pt>
                      <c:pt idx="13">
                        <c:v>19.592489</c:v>
                      </c:pt>
                    </c:numCache>
                  </c:numRef>
                </c:yVal>
                <c:smooth val="0"/>
                <c:extLst>
                  <c:ext xmlns:c16="http://schemas.microsoft.com/office/drawing/2014/chart" uri="{C3380CC4-5D6E-409C-BE32-E72D297353CC}">
                    <c16:uniqueId val="{00000001-64BC-4D09-8ED7-874235FD19D4}"/>
                  </c:ext>
                </c:extLst>
              </c15:ser>
            </c15:filteredScatterSeries>
          </c:ext>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BlinkRateMinute!$L$1</c:f>
              <c:strCache>
                <c:ptCount val="1"/>
                <c:pt idx="0">
                  <c:v>P3</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BlinkRateMinute!$J$2:$J$15</c:f>
              <c:numCache>
                <c:formatCode>General</c:formatCode>
                <c:ptCount val="14"/>
                <c:pt idx="0">
                  <c:v>13.27946</c:v>
                </c:pt>
                <c:pt idx="1">
                  <c:v>18.098331000000002</c:v>
                </c:pt>
                <c:pt idx="2">
                  <c:v>2.2134100000000001</c:v>
                </c:pt>
                <c:pt idx="3">
                  <c:v>24.187462</c:v>
                </c:pt>
                <c:pt idx="4">
                  <c:v>13.098208</c:v>
                </c:pt>
                <c:pt idx="5">
                  <c:v>9.9307610000000004</c:v>
                </c:pt>
                <c:pt idx="6">
                  <c:v>18.789473999999998</c:v>
                </c:pt>
                <c:pt idx="7">
                  <c:v>13.606121</c:v>
                </c:pt>
                <c:pt idx="8">
                  <c:v>31.080375</c:v>
                </c:pt>
                <c:pt idx="9">
                  <c:v>32.160544999999999</c:v>
                </c:pt>
                <c:pt idx="10">
                  <c:v>15.797788000000001</c:v>
                </c:pt>
                <c:pt idx="11">
                  <c:v>21.965651999999999</c:v>
                </c:pt>
                <c:pt idx="12">
                  <c:v>18.728362000000001</c:v>
                </c:pt>
                <c:pt idx="13">
                  <c:v>28.657671000000001</c:v>
                </c:pt>
              </c:numCache>
            </c:numRef>
          </c:xVal>
          <c:yVal>
            <c:numRef>
              <c:f>BlinkRateMinute!$L$2:$L$15</c:f>
              <c:numCache>
                <c:formatCode>General</c:formatCode>
                <c:ptCount val="14"/>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pt idx="9">
                  <c:v>21.611886999999999</c:v>
                </c:pt>
                <c:pt idx="10">
                  <c:v>18.307717</c:v>
                </c:pt>
                <c:pt idx="11">
                  <c:v>21.452435999999999</c:v>
                </c:pt>
                <c:pt idx="12">
                  <c:v>17.541353000000001</c:v>
                </c:pt>
                <c:pt idx="13">
                  <c:v>19.592489</c:v>
                </c:pt>
              </c:numCache>
            </c:numRef>
          </c:yVal>
          <c:smooth val="0"/>
          <c:extLst>
            <c:ext xmlns:c16="http://schemas.microsoft.com/office/drawing/2014/chart" uri="{C3380CC4-5D6E-409C-BE32-E72D297353CC}">
              <c16:uniqueId val="{00000001-A228-4095-975E-4D2434418319}"/>
            </c:ext>
          </c:extLst>
        </c:ser>
        <c:dLbls>
          <c:showLegendKey val="0"/>
          <c:showVal val="0"/>
          <c:showCatName val="0"/>
          <c:showSerName val="0"/>
          <c:showPercent val="0"/>
          <c:showBubbleSize val="0"/>
        </c:dLbls>
        <c:axId val="1655692223"/>
        <c:axId val="1655694143"/>
        <c:extLst>
          <c:ext xmlns:c15="http://schemas.microsoft.com/office/drawing/2012/chart" uri="{02D57815-91ED-43cb-92C2-25804820EDAC}">
            <c15:filteredScatterSeries>
              <c15:ser>
                <c:idx val="0"/>
                <c:order val="0"/>
                <c:tx>
                  <c:strRef>
                    <c:extLst>
                      <c:ext uri="{02D57815-91ED-43cb-92C2-25804820EDAC}">
                        <c15:formulaRef>
                          <c15:sqref>BlinkRateMinute!$K$1</c15:sqref>
                        </c15:formulaRef>
                      </c:ext>
                    </c:extLst>
                    <c:strCache>
                      <c:ptCount val="1"/>
                      <c:pt idx="0">
                        <c:v>P2</c:v>
                      </c:pt>
                    </c:strCache>
                  </c:strRef>
                </c:tx>
                <c:spPr>
                  <a:ln w="1905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BlinkRateMinute!$J$2:$J$15</c15:sqref>
                        </c15:formulaRef>
                      </c:ext>
                    </c:extLst>
                    <c:numCache>
                      <c:formatCode>General</c:formatCode>
                      <c:ptCount val="14"/>
                      <c:pt idx="0">
                        <c:v>13.27946</c:v>
                      </c:pt>
                      <c:pt idx="1">
                        <c:v>18.098331000000002</c:v>
                      </c:pt>
                      <c:pt idx="2">
                        <c:v>2.2134100000000001</c:v>
                      </c:pt>
                      <c:pt idx="3">
                        <c:v>24.187462</c:v>
                      </c:pt>
                      <c:pt idx="4">
                        <c:v>13.098208</c:v>
                      </c:pt>
                      <c:pt idx="5">
                        <c:v>9.9307610000000004</c:v>
                      </c:pt>
                      <c:pt idx="6">
                        <c:v>18.789473999999998</c:v>
                      </c:pt>
                      <c:pt idx="7">
                        <c:v>13.606121</c:v>
                      </c:pt>
                      <c:pt idx="8">
                        <c:v>31.080375</c:v>
                      </c:pt>
                      <c:pt idx="9">
                        <c:v>32.160544999999999</c:v>
                      </c:pt>
                      <c:pt idx="10">
                        <c:v>15.797788000000001</c:v>
                      </c:pt>
                      <c:pt idx="11">
                        <c:v>21.965651999999999</c:v>
                      </c:pt>
                      <c:pt idx="12">
                        <c:v>18.728362000000001</c:v>
                      </c:pt>
                      <c:pt idx="13">
                        <c:v>28.657671000000001</c:v>
                      </c:pt>
                    </c:numCache>
                  </c:numRef>
                </c:xVal>
                <c:yVal>
                  <c:numRef>
                    <c:extLst>
                      <c:ext uri="{02D57815-91ED-43cb-92C2-25804820EDAC}">
                        <c15:formulaRef>
                          <c15:sqref>BlinkRateMinute!$K$2:$K$15</c15:sqref>
                        </c15:formulaRef>
                      </c:ext>
                    </c:extLst>
                    <c:numCache>
                      <c:formatCode>General</c:formatCode>
                      <c:ptCount val="14"/>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pt idx="9">
                        <c:v>19.296327000000002</c:v>
                      </c:pt>
                      <c:pt idx="10">
                        <c:v>20.227074999999999</c:v>
                      </c:pt>
                      <c:pt idx="11">
                        <c:v>14.677982999999999</c:v>
                      </c:pt>
                      <c:pt idx="12">
                        <c:v>28.883882</c:v>
                      </c:pt>
                      <c:pt idx="13">
                        <c:v>20.567240000000002</c:v>
                      </c:pt>
                    </c:numCache>
                  </c:numRef>
                </c:yVal>
                <c:smooth val="0"/>
                <c:extLst>
                  <c:ext xmlns:c16="http://schemas.microsoft.com/office/drawing/2014/chart" uri="{C3380CC4-5D6E-409C-BE32-E72D297353CC}">
                    <c16:uniqueId val="{00000000-A228-4095-975E-4D2434418319}"/>
                  </c:ext>
                </c:extLst>
              </c15:ser>
            </c15:filteredScatterSeries>
          </c:ext>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P2-P3</c:v>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BlinkRateMinute!$K$2:$K$15</c:f>
              <c:numCache>
                <c:formatCode>General</c:formatCode>
                <c:ptCount val="14"/>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pt idx="9">
                  <c:v>19.296327000000002</c:v>
                </c:pt>
                <c:pt idx="10">
                  <c:v>20.227074999999999</c:v>
                </c:pt>
                <c:pt idx="11">
                  <c:v>14.677982999999999</c:v>
                </c:pt>
                <c:pt idx="12">
                  <c:v>28.883882</c:v>
                </c:pt>
                <c:pt idx="13">
                  <c:v>20.567240000000002</c:v>
                </c:pt>
              </c:numCache>
            </c:numRef>
          </c:xVal>
          <c:yVal>
            <c:numRef>
              <c:f>BlinkRateMinute!$L$2:$L$15</c:f>
              <c:numCache>
                <c:formatCode>General</c:formatCode>
                <c:ptCount val="14"/>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pt idx="9">
                  <c:v>21.611886999999999</c:v>
                </c:pt>
                <c:pt idx="10">
                  <c:v>18.307717</c:v>
                </c:pt>
                <c:pt idx="11">
                  <c:v>21.452435999999999</c:v>
                </c:pt>
                <c:pt idx="12">
                  <c:v>17.541353000000001</c:v>
                </c:pt>
                <c:pt idx="13">
                  <c:v>19.592489</c:v>
                </c:pt>
              </c:numCache>
            </c:numRef>
          </c:yVal>
          <c:smooth val="0"/>
          <c:extLst>
            <c:ext xmlns:c16="http://schemas.microsoft.com/office/drawing/2014/chart" uri="{C3380CC4-5D6E-409C-BE32-E72D297353CC}">
              <c16:uniqueId val="{00000002-F61B-4B29-8336-DFC9C7F6DA08}"/>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 avgP2P3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P1-avgP2P3</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BlinkRateMinute!$J$2:$J$15</c:f>
              <c:numCache>
                <c:formatCode>General</c:formatCode>
                <c:ptCount val="14"/>
                <c:pt idx="0">
                  <c:v>13.27946</c:v>
                </c:pt>
                <c:pt idx="1">
                  <c:v>18.098331000000002</c:v>
                </c:pt>
                <c:pt idx="2">
                  <c:v>2.2134100000000001</c:v>
                </c:pt>
                <c:pt idx="3">
                  <c:v>24.187462</c:v>
                </c:pt>
                <c:pt idx="4">
                  <c:v>13.098208</c:v>
                </c:pt>
                <c:pt idx="5">
                  <c:v>9.9307610000000004</c:v>
                </c:pt>
                <c:pt idx="6">
                  <c:v>18.789473999999998</c:v>
                </c:pt>
                <c:pt idx="7">
                  <c:v>13.606121</c:v>
                </c:pt>
                <c:pt idx="8">
                  <c:v>31.080375</c:v>
                </c:pt>
                <c:pt idx="9">
                  <c:v>32.160544999999999</c:v>
                </c:pt>
                <c:pt idx="10">
                  <c:v>15.797788000000001</c:v>
                </c:pt>
                <c:pt idx="11">
                  <c:v>21.965651999999999</c:v>
                </c:pt>
                <c:pt idx="12">
                  <c:v>18.728362000000001</c:v>
                </c:pt>
                <c:pt idx="13">
                  <c:v>28.657671000000001</c:v>
                </c:pt>
              </c:numCache>
            </c:numRef>
          </c:xVal>
          <c:yVal>
            <c:numRef>
              <c:f>BlinkRateMinute!$O$2:$O$15</c:f>
              <c:numCache>
                <c:formatCode>General</c:formatCode>
                <c:ptCount val="14"/>
                <c:pt idx="0">
                  <c:v>31.417258499999999</c:v>
                </c:pt>
                <c:pt idx="1">
                  <c:v>22.229472000000001</c:v>
                </c:pt>
                <c:pt idx="2">
                  <c:v>17.035349</c:v>
                </c:pt>
                <c:pt idx="3">
                  <c:v>32.953073500000002</c:v>
                </c:pt>
                <c:pt idx="4">
                  <c:v>16.420914499999999</c:v>
                </c:pt>
                <c:pt idx="5">
                  <c:v>8.344597499999999</c:v>
                </c:pt>
                <c:pt idx="6">
                  <c:v>10.815789499999999</c:v>
                </c:pt>
                <c:pt idx="7">
                  <c:v>30.613771999999997</c:v>
                </c:pt>
                <c:pt idx="8">
                  <c:v>14.0127335</c:v>
                </c:pt>
                <c:pt idx="9">
                  <c:v>20.454107</c:v>
                </c:pt>
                <c:pt idx="10">
                  <c:v>19.267395999999998</c:v>
                </c:pt>
                <c:pt idx="11">
                  <c:v>18.065209499999998</c:v>
                </c:pt>
                <c:pt idx="12">
                  <c:v>23.2126175</c:v>
                </c:pt>
                <c:pt idx="13">
                  <c:v>20.079864499999999</c:v>
                </c:pt>
              </c:numCache>
            </c:numRef>
          </c:yVal>
          <c:smooth val="0"/>
          <c:extLst>
            <c:ext xmlns:c16="http://schemas.microsoft.com/office/drawing/2014/chart" uri="{C3380CC4-5D6E-409C-BE32-E72D297353CC}">
              <c16:uniqueId val="{00000002-7DB6-460F-B9FA-0729AA763D78}"/>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 avgP1P3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P2-avgP1P3</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BlinkRateMinute!$K$2:$K$15</c:f>
              <c:numCache>
                <c:formatCode>General</c:formatCode>
                <c:ptCount val="14"/>
                <c:pt idx="0">
                  <c:v>26.720863999999999</c:v>
                </c:pt>
                <c:pt idx="1">
                  <c:v>29.803229999999999</c:v>
                </c:pt>
                <c:pt idx="2">
                  <c:v>11.462300000000001</c:v>
                </c:pt>
                <c:pt idx="3">
                  <c:v>7.7812380000000001</c:v>
                </c:pt>
                <c:pt idx="4">
                  <c:v>8.8605520000000002</c:v>
                </c:pt>
                <c:pt idx="5">
                  <c:v>10.206614999999999</c:v>
                </c:pt>
                <c:pt idx="6">
                  <c:v>14.210526</c:v>
                </c:pt>
                <c:pt idx="7">
                  <c:v>26.940118999999999</c:v>
                </c:pt>
                <c:pt idx="8">
                  <c:v>10.094481</c:v>
                </c:pt>
                <c:pt idx="9">
                  <c:v>19.296327000000002</c:v>
                </c:pt>
                <c:pt idx="10">
                  <c:v>20.227074999999999</c:v>
                </c:pt>
                <c:pt idx="11">
                  <c:v>14.677982999999999</c:v>
                </c:pt>
                <c:pt idx="12">
                  <c:v>28.883882</c:v>
                </c:pt>
                <c:pt idx="13">
                  <c:v>20.567240000000002</c:v>
                </c:pt>
              </c:numCache>
            </c:numRef>
          </c:xVal>
          <c:yVal>
            <c:numRef>
              <c:f>BlinkRateMinute!$N$2:$N$15</c:f>
              <c:numCache>
                <c:formatCode>General</c:formatCode>
                <c:ptCount val="14"/>
                <c:pt idx="0">
                  <c:v>24.6965565</c:v>
                </c:pt>
                <c:pt idx="1">
                  <c:v>16.377022500000002</c:v>
                </c:pt>
                <c:pt idx="2">
                  <c:v>12.410904</c:v>
                </c:pt>
                <c:pt idx="3">
                  <c:v>41.156185499999999</c:v>
                </c:pt>
                <c:pt idx="4">
                  <c:v>18.539742499999999</c:v>
                </c:pt>
                <c:pt idx="5">
                  <c:v>8.2066704999999995</c:v>
                </c:pt>
                <c:pt idx="6">
                  <c:v>13.1052635</c:v>
                </c:pt>
                <c:pt idx="7">
                  <c:v>23.946773</c:v>
                </c:pt>
                <c:pt idx="8">
                  <c:v>24.5056805</c:v>
                </c:pt>
                <c:pt idx="9">
                  <c:v>26.886215999999997</c:v>
                </c:pt>
                <c:pt idx="10">
                  <c:v>17.0527525</c:v>
                </c:pt>
                <c:pt idx="11">
                  <c:v>21.709043999999999</c:v>
                </c:pt>
                <c:pt idx="12">
                  <c:v>18.134857500000003</c:v>
                </c:pt>
                <c:pt idx="13">
                  <c:v>24.125080000000001</c:v>
                </c:pt>
              </c:numCache>
            </c:numRef>
          </c:yVal>
          <c:smooth val="0"/>
          <c:extLst>
            <c:ext xmlns:c16="http://schemas.microsoft.com/office/drawing/2014/chart" uri="{C3380CC4-5D6E-409C-BE32-E72D297353CC}">
              <c16:uniqueId val="{00000002-5D21-4E25-85A9-BE28F5AF8996}"/>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P3- avgP1P2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P3-avgP1P2</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0"/>
          </c:trendline>
          <c:xVal>
            <c:numRef>
              <c:f>BlinkRateMinute!$L$2:$L$15</c:f>
              <c:numCache>
                <c:formatCode>General</c:formatCode>
                <c:ptCount val="14"/>
                <c:pt idx="0">
                  <c:v>36.113652999999999</c:v>
                </c:pt>
                <c:pt idx="1">
                  <c:v>14.655714</c:v>
                </c:pt>
                <c:pt idx="2">
                  <c:v>22.608398000000001</c:v>
                </c:pt>
                <c:pt idx="3">
                  <c:v>58.124909000000002</c:v>
                </c:pt>
                <c:pt idx="4">
                  <c:v>23.981276999999999</c:v>
                </c:pt>
                <c:pt idx="5">
                  <c:v>6.4825799999999996</c:v>
                </c:pt>
                <c:pt idx="6">
                  <c:v>7.4210529999999997</c:v>
                </c:pt>
                <c:pt idx="7">
                  <c:v>34.287424999999999</c:v>
                </c:pt>
                <c:pt idx="8">
                  <c:v>17.930986000000001</c:v>
                </c:pt>
                <c:pt idx="9">
                  <c:v>21.611886999999999</c:v>
                </c:pt>
                <c:pt idx="10">
                  <c:v>18.307717</c:v>
                </c:pt>
                <c:pt idx="11">
                  <c:v>21.452435999999999</c:v>
                </c:pt>
                <c:pt idx="12">
                  <c:v>17.541353000000001</c:v>
                </c:pt>
                <c:pt idx="13">
                  <c:v>19.592489</c:v>
                </c:pt>
              </c:numCache>
            </c:numRef>
          </c:xVal>
          <c:yVal>
            <c:numRef>
              <c:f>BlinkRateMinute!$M$2:$M$15</c:f>
              <c:numCache>
                <c:formatCode>General</c:formatCode>
                <c:ptCount val="14"/>
                <c:pt idx="0">
                  <c:v>20.000162</c:v>
                </c:pt>
                <c:pt idx="1">
                  <c:v>23.9507805</c:v>
                </c:pt>
                <c:pt idx="2">
                  <c:v>6.8378550000000002</c:v>
                </c:pt>
                <c:pt idx="3">
                  <c:v>15.984349999999999</c:v>
                </c:pt>
                <c:pt idx="4">
                  <c:v>10.979379999999999</c:v>
                </c:pt>
                <c:pt idx="5">
                  <c:v>10.068688</c:v>
                </c:pt>
                <c:pt idx="6">
                  <c:v>16.5</c:v>
                </c:pt>
                <c:pt idx="7">
                  <c:v>20.273119999999999</c:v>
                </c:pt>
                <c:pt idx="8">
                  <c:v>20.587427999999999</c:v>
                </c:pt>
                <c:pt idx="9">
                  <c:v>25.728436000000002</c:v>
                </c:pt>
                <c:pt idx="10">
                  <c:v>18.012431499999998</c:v>
                </c:pt>
                <c:pt idx="11">
                  <c:v>18.321817499999998</c:v>
                </c:pt>
                <c:pt idx="12">
                  <c:v>23.806122000000002</c:v>
                </c:pt>
                <c:pt idx="13">
                  <c:v>24.612455500000003</c:v>
                </c:pt>
              </c:numCache>
            </c:numRef>
          </c:yVal>
          <c:smooth val="0"/>
          <c:extLst>
            <c:ext xmlns:c16="http://schemas.microsoft.com/office/drawing/2014/chart" uri="{C3380CC4-5D6E-409C-BE32-E72D297353CC}">
              <c16:uniqueId val="{00000002-5E3C-4EFA-957E-8A2ADA8A208C}"/>
            </c:ext>
          </c:extLst>
        </c:ser>
        <c:dLbls>
          <c:showLegendKey val="0"/>
          <c:showVal val="0"/>
          <c:showCatName val="0"/>
          <c:showSerName val="0"/>
          <c:showPercent val="0"/>
          <c:showBubbleSize val="0"/>
        </c:dLbls>
        <c:axId val="1655692223"/>
        <c:axId val="1655694143"/>
        <c:extLst/>
      </c:scatterChart>
      <c:valAx>
        <c:axId val="165569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4143"/>
        <c:crosses val="autoZero"/>
        <c:crossBetween val="midCat"/>
      </c:valAx>
      <c:valAx>
        <c:axId val="16556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Dyads Blink Rate per</a:t>
            </a:r>
            <a:r>
              <a:rPr lang="en-GB" baseline="0"/>
              <a:t> Minute (BPM)</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3.6110017497812771E-2"/>
                  <c:y val="-7.86911475882448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BlinkRateMinute!$D$61:$D$71</c:f>
              <c:numCache>
                <c:formatCode>General</c:formatCode>
                <c:ptCount val="11"/>
                <c:pt idx="0">
                  <c:v>26.732667999999997</c:v>
                </c:pt>
                <c:pt idx="1">
                  <c:v>2.4711409999999998</c:v>
                </c:pt>
                <c:pt idx="2">
                  <c:v>32.033904</c:v>
                </c:pt>
                <c:pt idx="3">
                  <c:v>31.456980000000001</c:v>
                </c:pt>
                <c:pt idx="4">
                  <c:v>38.272494999999999</c:v>
                </c:pt>
                <c:pt idx="5">
                  <c:v>17.652170000000002</c:v>
                </c:pt>
                <c:pt idx="6">
                  <c:v>13.541086</c:v>
                </c:pt>
                <c:pt idx="7">
                  <c:v>22.615593000000001</c:v>
                </c:pt>
                <c:pt idx="8">
                  <c:v>25.324967000000001</c:v>
                </c:pt>
                <c:pt idx="9">
                  <c:v>5.3683930000000002</c:v>
                </c:pt>
                <c:pt idx="10">
                  <c:v>20.296095999999999</c:v>
                </c:pt>
              </c:numCache>
            </c:numRef>
          </c:xVal>
          <c:yVal>
            <c:numRef>
              <c:f>BlinkRateMinute!$E$61:$E$71</c:f>
              <c:numCache>
                <c:formatCode>General</c:formatCode>
                <c:ptCount val="11"/>
                <c:pt idx="0">
                  <c:v>35.347144999999998</c:v>
                </c:pt>
                <c:pt idx="1">
                  <c:v>30.938687999999999</c:v>
                </c:pt>
                <c:pt idx="2">
                  <c:v>34.357607000000002</c:v>
                </c:pt>
                <c:pt idx="3">
                  <c:v>32.792991000000001</c:v>
                </c:pt>
                <c:pt idx="4">
                  <c:v>39.090671999999998</c:v>
                </c:pt>
                <c:pt idx="5">
                  <c:v>30.456852999999999</c:v>
                </c:pt>
                <c:pt idx="6">
                  <c:v>38.751725</c:v>
                </c:pt>
                <c:pt idx="7">
                  <c:v>41.354227999999999</c:v>
                </c:pt>
                <c:pt idx="8">
                  <c:v>60.294035000000001</c:v>
                </c:pt>
                <c:pt idx="9">
                  <c:v>24.631449</c:v>
                </c:pt>
                <c:pt idx="10">
                  <c:v>27.407136999999999</c:v>
                </c:pt>
              </c:numCache>
            </c:numRef>
          </c:yVal>
          <c:smooth val="0"/>
          <c:extLst>
            <c:ext xmlns:c16="http://schemas.microsoft.com/office/drawing/2014/chart" uri="{C3380CC4-5D6E-409C-BE32-E72D297353CC}">
              <c16:uniqueId val="{00000000-E81F-45FC-BFDC-9F3AF0745BC7}"/>
            </c:ext>
          </c:extLst>
        </c:ser>
        <c:dLbls>
          <c:showLegendKey val="0"/>
          <c:showVal val="0"/>
          <c:showCatName val="0"/>
          <c:showSerName val="0"/>
          <c:showPercent val="0"/>
          <c:showBubbleSize val="0"/>
        </c:dLbls>
        <c:axId val="646802688"/>
        <c:axId val="646797408"/>
      </c:scatterChart>
      <c:valAx>
        <c:axId val="646802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BPM Participant 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7408"/>
        <c:crosses val="autoZero"/>
        <c:crossBetween val="midCat"/>
      </c:valAx>
      <c:valAx>
        <c:axId val="64679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BPM Participant 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02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P1 vs P2</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BlinkRateMinute!$T$120:$T$133</c:f>
              <c:numCache>
                <c:formatCode>General</c:formatCode>
                <c:ptCount val="14"/>
                <c:pt idx="0">
                  <c:v>13.27946</c:v>
                </c:pt>
                <c:pt idx="1">
                  <c:v>14.655714</c:v>
                </c:pt>
                <c:pt idx="2">
                  <c:v>2.2134100000000001</c:v>
                </c:pt>
                <c:pt idx="3">
                  <c:v>7.7812380000000001</c:v>
                </c:pt>
                <c:pt idx="4">
                  <c:v>8.8605520000000002</c:v>
                </c:pt>
                <c:pt idx="5">
                  <c:v>6.4825799999999996</c:v>
                </c:pt>
                <c:pt idx="6">
                  <c:v>7.4210529999999997</c:v>
                </c:pt>
                <c:pt idx="7">
                  <c:v>13.606121</c:v>
                </c:pt>
                <c:pt idx="8">
                  <c:v>10.094481</c:v>
                </c:pt>
                <c:pt idx="9">
                  <c:v>19.296327000000002</c:v>
                </c:pt>
                <c:pt idx="10">
                  <c:v>15.797788000000001</c:v>
                </c:pt>
                <c:pt idx="11">
                  <c:v>14.677982999999999</c:v>
                </c:pt>
                <c:pt idx="12">
                  <c:v>17.541353000000001</c:v>
                </c:pt>
                <c:pt idx="13">
                  <c:v>19.592489</c:v>
                </c:pt>
              </c:numCache>
            </c:numRef>
          </c:xVal>
          <c:yVal>
            <c:numRef>
              <c:f>BlinkRateMinute!$U$120:$U$133</c:f>
              <c:numCache>
                <c:formatCode>General</c:formatCode>
                <c:ptCount val="14"/>
                <c:pt idx="0">
                  <c:v>26.720863999999999</c:v>
                </c:pt>
                <c:pt idx="1">
                  <c:v>18.098331000000002</c:v>
                </c:pt>
                <c:pt idx="2">
                  <c:v>11.462300000000001</c:v>
                </c:pt>
                <c:pt idx="3">
                  <c:v>24.187462</c:v>
                </c:pt>
                <c:pt idx="4">
                  <c:v>13.098208</c:v>
                </c:pt>
                <c:pt idx="5">
                  <c:v>9.9307610000000004</c:v>
                </c:pt>
                <c:pt idx="6">
                  <c:v>14.210526</c:v>
                </c:pt>
                <c:pt idx="7">
                  <c:v>26.940118999999999</c:v>
                </c:pt>
                <c:pt idx="8">
                  <c:v>17.930986000000001</c:v>
                </c:pt>
                <c:pt idx="9">
                  <c:v>21.611886999999999</c:v>
                </c:pt>
                <c:pt idx="10">
                  <c:v>18.307717</c:v>
                </c:pt>
                <c:pt idx="11">
                  <c:v>21.452435999999999</c:v>
                </c:pt>
                <c:pt idx="12">
                  <c:v>18.728362000000001</c:v>
                </c:pt>
                <c:pt idx="13">
                  <c:v>20.567240000000002</c:v>
                </c:pt>
              </c:numCache>
            </c:numRef>
          </c:yVal>
          <c:smooth val="0"/>
          <c:extLst>
            <c:ext xmlns:c16="http://schemas.microsoft.com/office/drawing/2014/chart" uri="{C3380CC4-5D6E-409C-BE32-E72D297353CC}">
              <c16:uniqueId val="{00000000-3D26-4F39-A57A-4185ACCF7742}"/>
            </c:ext>
          </c:extLst>
        </c:ser>
        <c:dLbls>
          <c:showLegendKey val="0"/>
          <c:showVal val="0"/>
          <c:showCatName val="0"/>
          <c:showSerName val="0"/>
          <c:showPercent val="0"/>
          <c:showBubbleSize val="0"/>
        </c:dLbls>
        <c:axId val="903322976"/>
        <c:axId val="903325376"/>
      </c:scatterChart>
      <c:valAx>
        <c:axId val="90332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5376"/>
        <c:crosses val="autoZero"/>
        <c:crossBetween val="midCat"/>
      </c:valAx>
      <c:valAx>
        <c:axId val="90332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P1 vs P3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2.2644575678040246E-2"/>
                  <c:y val="-0.108784995625546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BlinkRateMinute!$T$120:$T$133</c:f>
              <c:numCache>
                <c:formatCode>General</c:formatCode>
                <c:ptCount val="14"/>
                <c:pt idx="0">
                  <c:v>13.27946</c:v>
                </c:pt>
                <c:pt idx="1">
                  <c:v>14.655714</c:v>
                </c:pt>
                <c:pt idx="2">
                  <c:v>2.2134100000000001</c:v>
                </c:pt>
                <c:pt idx="3">
                  <c:v>7.7812380000000001</c:v>
                </c:pt>
                <c:pt idx="4">
                  <c:v>8.8605520000000002</c:v>
                </c:pt>
                <c:pt idx="5">
                  <c:v>6.4825799999999996</c:v>
                </c:pt>
                <c:pt idx="6">
                  <c:v>7.4210529999999997</c:v>
                </c:pt>
                <c:pt idx="7">
                  <c:v>13.606121</c:v>
                </c:pt>
                <c:pt idx="8">
                  <c:v>10.094481</c:v>
                </c:pt>
                <c:pt idx="9">
                  <c:v>19.296327000000002</c:v>
                </c:pt>
                <c:pt idx="10">
                  <c:v>15.797788000000001</c:v>
                </c:pt>
                <c:pt idx="11">
                  <c:v>14.677982999999999</c:v>
                </c:pt>
                <c:pt idx="12">
                  <c:v>17.541353000000001</c:v>
                </c:pt>
                <c:pt idx="13">
                  <c:v>19.592489</c:v>
                </c:pt>
              </c:numCache>
            </c:numRef>
          </c:xVal>
          <c:yVal>
            <c:numRef>
              <c:f>BlinkRateMinute!$V$120:$V$133</c:f>
              <c:numCache>
                <c:formatCode>General</c:formatCode>
                <c:ptCount val="14"/>
                <c:pt idx="0">
                  <c:v>36.113652999999999</c:v>
                </c:pt>
                <c:pt idx="1">
                  <c:v>29.803229999999999</c:v>
                </c:pt>
                <c:pt idx="2">
                  <c:v>22.608398000000001</c:v>
                </c:pt>
                <c:pt idx="3">
                  <c:v>58.124909000000002</c:v>
                </c:pt>
                <c:pt idx="4">
                  <c:v>23.981276999999999</c:v>
                </c:pt>
                <c:pt idx="5">
                  <c:v>10.206614999999999</c:v>
                </c:pt>
                <c:pt idx="6">
                  <c:v>18.789473999999998</c:v>
                </c:pt>
                <c:pt idx="7">
                  <c:v>34.287424999999999</c:v>
                </c:pt>
                <c:pt idx="8">
                  <c:v>31.080375</c:v>
                </c:pt>
                <c:pt idx="9">
                  <c:v>32.160544999999999</c:v>
                </c:pt>
                <c:pt idx="10">
                  <c:v>20.227074999999999</c:v>
                </c:pt>
                <c:pt idx="11">
                  <c:v>21.965651999999999</c:v>
                </c:pt>
                <c:pt idx="12">
                  <c:v>28.883882</c:v>
                </c:pt>
                <c:pt idx="13">
                  <c:v>28.657671000000001</c:v>
                </c:pt>
              </c:numCache>
            </c:numRef>
          </c:yVal>
          <c:smooth val="0"/>
          <c:extLst>
            <c:ext xmlns:c16="http://schemas.microsoft.com/office/drawing/2014/chart" uri="{C3380CC4-5D6E-409C-BE32-E72D297353CC}">
              <c16:uniqueId val="{00000000-2979-4FED-8BDF-BB0494E6E9DF}"/>
            </c:ext>
          </c:extLst>
        </c:ser>
        <c:dLbls>
          <c:showLegendKey val="0"/>
          <c:showVal val="0"/>
          <c:showCatName val="0"/>
          <c:showSerName val="0"/>
          <c:showPercent val="0"/>
          <c:showBubbleSize val="0"/>
        </c:dLbls>
        <c:axId val="903322976"/>
        <c:axId val="903325376"/>
      </c:scatterChart>
      <c:valAx>
        <c:axId val="90332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5376"/>
        <c:crosses val="autoZero"/>
        <c:crossBetween val="midCat"/>
      </c:valAx>
      <c:valAx>
        <c:axId val="90332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P2 vs P3</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BlinkRateMinute!$V$120:$V$133</c:f>
              <c:numCache>
                <c:formatCode>General</c:formatCode>
                <c:ptCount val="14"/>
                <c:pt idx="0">
                  <c:v>36.113652999999999</c:v>
                </c:pt>
                <c:pt idx="1">
                  <c:v>29.803229999999999</c:v>
                </c:pt>
                <c:pt idx="2">
                  <c:v>22.608398000000001</c:v>
                </c:pt>
                <c:pt idx="3">
                  <c:v>58.124909000000002</c:v>
                </c:pt>
                <c:pt idx="4">
                  <c:v>23.981276999999999</c:v>
                </c:pt>
                <c:pt idx="5">
                  <c:v>10.206614999999999</c:v>
                </c:pt>
                <c:pt idx="6">
                  <c:v>18.789473999999998</c:v>
                </c:pt>
                <c:pt idx="7">
                  <c:v>34.287424999999999</c:v>
                </c:pt>
                <c:pt idx="8">
                  <c:v>31.080375</c:v>
                </c:pt>
                <c:pt idx="9">
                  <c:v>32.160544999999999</c:v>
                </c:pt>
                <c:pt idx="10">
                  <c:v>20.227074999999999</c:v>
                </c:pt>
                <c:pt idx="11">
                  <c:v>21.965651999999999</c:v>
                </c:pt>
                <c:pt idx="12">
                  <c:v>28.883882</c:v>
                </c:pt>
                <c:pt idx="13">
                  <c:v>28.657671000000001</c:v>
                </c:pt>
              </c:numCache>
            </c:numRef>
          </c:xVal>
          <c:yVal>
            <c:numRef>
              <c:f>BlinkRateMinute!$U$120:$U$133</c:f>
              <c:numCache>
                <c:formatCode>General</c:formatCode>
                <c:ptCount val="14"/>
                <c:pt idx="0">
                  <c:v>26.720863999999999</c:v>
                </c:pt>
                <c:pt idx="1">
                  <c:v>18.098331000000002</c:v>
                </c:pt>
                <c:pt idx="2">
                  <c:v>11.462300000000001</c:v>
                </c:pt>
                <c:pt idx="3">
                  <c:v>24.187462</c:v>
                </c:pt>
                <c:pt idx="4">
                  <c:v>13.098208</c:v>
                </c:pt>
                <c:pt idx="5">
                  <c:v>9.9307610000000004</c:v>
                </c:pt>
                <c:pt idx="6">
                  <c:v>14.210526</c:v>
                </c:pt>
                <c:pt idx="7">
                  <c:v>26.940118999999999</c:v>
                </c:pt>
                <c:pt idx="8">
                  <c:v>17.930986000000001</c:v>
                </c:pt>
                <c:pt idx="9">
                  <c:v>21.611886999999999</c:v>
                </c:pt>
                <c:pt idx="10">
                  <c:v>18.307717</c:v>
                </c:pt>
                <c:pt idx="11">
                  <c:v>21.452435999999999</c:v>
                </c:pt>
                <c:pt idx="12">
                  <c:v>18.728362000000001</c:v>
                </c:pt>
                <c:pt idx="13">
                  <c:v>20.567240000000002</c:v>
                </c:pt>
              </c:numCache>
            </c:numRef>
          </c:yVal>
          <c:smooth val="0"/>
          <c:extLst>
            <c:ext xmlns:c16="http://schemas.microsoft.com/office/drawing/2014/chart" uri="{C3380CC4-5D6E-409C-BE32-E72D297353CC}">
              <c16:uniqueId val="{00000000-34EF-464A-9AA3-ED99AC338325}"/>
            </c:ext>
          </c:extLst>
        </c:ser>
        <c:dLbls>
          <c:showLegendKey val="0"/>
          <c:showVal val="0"/>
          <c:showCatName val="0"/>
          <c:showSerName val="0"/>
          <c:showPercent val="0"/>
          <c:showBubbleSize val="0"/>
        </c:dLbls>
        <c:axId val="903322976"/>
        <c:axId val="903325376"/>
      </c:scatterChart>
      <c:valAx>
        <c:axId val="90332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5376"/>
        <c:crosses val="autoZero"/>
        <c:crossBetween val="midCat"/>
      </c:valAx>
      <c:valAx>
        <c:axId val="90332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txData>
          <cx:v>Blink Durations in Dyads vs Triads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Blink Durations in Dyads vs Triads</a:t>
          </a:r>
        </a:p>
      </cx:txPr>
    </cx:title>
    <cx:plotArea>
      <cx:plotAreaRegion>
        <cx:series layoutId="boxWhisker" uniqueId="{8E42B4CF-C767-4F7B-8021-4E2E2439F66F}">
          <cx:spPr>
            <a:noFill/>
          </cx:spPr>
          <cx:dataId val="0"/>
          <cx:layoutPr>
            <cx:visibility meanLine="1" meanMarker="1" nonoutliers="1" outliers="1"/>
            <cx:statistics quartileMethod="exclusive"/>
          </cx:layoutPr>
        </cx:series>
        <cx:series layoutId="boxWhisker" uniqueId="{00000001-4CC7-4FA6-8D6A-38409316E009}">
          <cx:spPr>
            <a:noFill/>
          </cx:spPr>
          <cx:dataId val="1"/>
          <cx:layoutPr>
            <cx:visibility meanLine="1"/>
            <cx:statistics quartileMethod="exclusive"/>
          </cx:layoutPr>
        </cx:series>
      </cx:plotAreaRegion>
      <cx:axis id="0" hidden="1">
        <cx:catScaling gapWidth="1"/>
        <cx:tickLabels/>
      </cx:axis>
      <cx:axis id="1">
        <cx:valScaling min="100"/>
        <cx:title>
          <cx:tx>
            <cx:txData>
              <cx:v>Blinks Durationin miliseconds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Blinks Durationin miliseconds</a:t>
              </a:r>
            </a:p>
          </cx:txPr>
        </cx:title>
        <cx:majorGridlines/>
        <cx:tickLabels/>
      </cx:axis>
    </cx:plotArea>
    <cx:legend pos="r" align="min" overlay="1">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data id="1">
      <cx:numDim type="val">
        <cx:f>_xlchart.v1.3</cx:f>
      </cx:numDim>
    </cx:data>
  </cx:chartData>
  <cx:chart>
    <cx:title pos="t" align="ctr" overlay="0">
      <cx:tx>
        <cx:txData>
          <cx:v>Dyads vs Triads on BPM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Dyads vs Triads on BPM</a:t>
          </a:r>
        </a:p>
      </cx:txPr>
    </cx:title>
    <cx:plotArea>
      <cx:plotAreaRegion>
        <cx:series layoutId="boxWhisker" uniqueId="{4DFF839D-C16C-4082-A573-2E00517ECB81}">
          <cx:spPr>
            <a:noFill/>
          </cx:spPr>
          <cx:dataId val="0"/>
          <cx:layoutPr>
            <cx:visibility meanLine="1" meanMarker="1" nonoutliers="1" outliers="0"/>
            <cx:statistics quartileMethod="exclusive"/>
          </cx:layoutPr>
        </cx:series>
        <cx:series layoutId="boxWhisker" uniqueId="{00000001-722A-435E-990A-4B385DA554D8}">
          <cx:spPr>
            <a:noFill/>
          </cx:spPr>
          <cx:dataId val="1"/>
          <cx:layoutPr>
            <cx:visibility meanLine="1" meanMarker="1" nonoutliers="1" outliers="0"/>
            <cx:statistics quartileMethod="exclusive"/>
          </cx:layoutPr>
        </cx:series>
      </cx:plotAreaRegion>
      <cx:axis id="0" hidden="1">
        <cx:catScaling gapWidth="1"/>
        <cx:tickLabels/>
      </cx:axis>
      <cx:axis id="1">
        <cx:valScaling/>
        <cx:title>
          <cx:tx>
            <cx:txData>
              <cx:v>Blink Rate per Minute (BPM)</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Blink Rate per Minute (BPM)</a:t>
              </a:r>
            </a:p>
          </cx:txPr>
        </cx:title>
        <cx:majorGridlines/>
        <cx:tickLabels/>
      </cx:axis>
    </cx:plotArea>
    <cx:legend pos="r" align="min" overlay="1"/>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_xlchart.v1.7</cx:f>
      </cx:numDim>
    </cx:data>
  </cx:chartData>
  <cx:chart>
    <cx:title pos="t" align="ctr" overlay="0">
      <cx:tx>
        <cx:txData>
          <cx:v>Synced Blink % on Dyads vs Triads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Synced Blink % on Dyads vs Triads</a:t>
          </a:r>
        </a:p>
      </cx:txPr>
    </cx:title>
    <cx:plotArea>
      <cx:plotAreaRegion>
        <cx:series layoutId="boxWhisker" uniqueId="{5F5FEFE0-8F79-4C9C-BDD4-A3321F378915}">
          <cx:tx>
            <cx:txData>
              <cx:f>_xlchart.v1.4</cx:f>
              <cx:v>Dyad</cx:v>
            </cx:txData>
          </cx:tx>
          <cx:spPr>
            <a:noFill/>
          </cx:spPr>
          <cx:dataId val="0"/>
          <cx:layoutPr>
            <cx:visibility meanLine="1" meanMarker="1" nonoutliers="1" outliers="1"/>
            <cx:statistics quartileMethod="exclusive"/>
          </cx:layoutPr>
        </cx:series>
        <cx:series layoutId="boxWhisker" uniqueId="{3BB713B9-C79C-4E48-A5E2-750F24D24DB1}">
          <cx:tx>
            <cx:txData>
              <cx:f>_xlchart.v1.5</cx:f>
              <cx:v>Triad</cx:v>
            </cx:txData>
          </cx:tx>
          <cx:spPr>
            <a:noFill/>
          </cx:spPr>
          <cx:dataId val="1"/>
          <cx:layoutPr>
            <cx:visibility meanLine="0" meanMarker="1" nonoutliers="1" outliers="1"/>
            <cx:statistics quartileMethod="exclusive"/>
          </cx:layoutPr>
        </cx:series>
      </cx:plotAreaRegion>
      <cx:axis id="0" hidden="1">
        <cx:catScaling gapWidth="1"/>
        <cx:tickLabels/>
      </cx:axis>
      <cx:axis id="1">
        <cx:valScaling/>
        <cx:title>
          <cx:tx>
            <cx:txData>
              <cx:v>Synchronised Blinks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Synchronised Blinks (%)</a:t>
              </a:r>
            </a:p>
          </cx:txPr>
        </cx:title>
        <cx:majorGridlines/>
        <cx:tickLabels/>
      </cx:axis>
    </cx:plotArea>
    <cx:legend pos="r" align="min" overlay="1"/>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data id="1">
      <cx:numDim type="val">
        <cx:f>_xlchart.v1.11</cx:f>
      </cx:numDim>
    </cx:data>
  </cx:chartData>
  <cx:chart>
    <cx:title pos="t" align="ctr" overlay="0">
      <cx:tx>
        <cx:txData>
          <cx:v>The mean blink asynchrony (ms) between the onset time of blinks of partners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The mean blink asynchrony (ms) between the onset time of blinks of partners</a:t>
          </a:r>
        </a:p>
      </cx:txPr>
    </cx:title>
    <cx:plotArea>
      <cx:plotAreaRegion>
        <cx:series layoutId="boxWhisker" uniqueId="{A5B4DEED-1E68-4B6B-87B2-059879358505}">
          <cx:tx>
            <cx:txData>
              <cx:f>_xlchart.v1.8</cx:f>
              <cx:v>Dyads</cx:v>
            </cx:txData>
          </cx:tx>
          <cx:spPr>
            <a:noFill/>
          </cx:spPr>
          <cx:dataId val="0"/>
          <cx:layoutPr>
            <cx:visibility meanLine="1" meanMarker="1" nonoutliers="1" outliers="1"/>
            <cx:statistics quartileMethod="exclusive"/>
          </cx:layoutPr>
        </cx:series>
        <cx:series layoutId="boxWhisker" uniqueId="{BE8BCE1F-0F62-4B06-9656-6717B23429AD}">
          <cx:tx>
            <cx:txData>
              <cx:f>_xlchart.v1.9</cx:f>
              <cx:v>Triads</cx:v>
            </cx:txData>
          </cx:tx>
          <cx:spPr>
            <a:noFill/>
          </cx:spPr>
          <cx:dataId val="1"/>
          <cx:layoutPr>
            <cx:visibility meanLine="1" meanMarker="1" nonoutliers="1" outliers="1"/>
            <cx:statistics quartileMethod="exclusive"/>
          </cx:layoutPr>
        </cx:series>
      </cx:plotAreaRegion>
      <cx:axis id="0" hidden="1">
        <cx:catScaling gapWidth="1"/>
        <cx:tickLabels/>
      </cx:axis>
      <cx:axis id="1">
        <cx:valScaling min="200"/>
        <cx:title>
          <cx:tx>
            <cx:txData>
              <cx:v>Miliseconds (ms)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Miliseconds (ms)</a:t>
              </a:r>
            </a:p>
          </cx:txPr>
        </cx:title>
        <cx:majorGridlines/>
        <cx:tickLabels/>
      </cx:axis>
    </cx:plotArea>
    <cx:legend pos="r" align="min" overlay="1"/>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13</xdr:col>
      <xdr:colOff>682625</xdr:colOff>
      <xdr:row>16</xdr:row>
      <xdr:rowOff>31750</xdr:rowOff>
    </xdr:from>
    <xdr:to>
      <xdr:col>18</xdr:col>
      <xdr:colOff>260350</xdr:colOff>
      <xdr:row>31</xdr:row>
      <xdr:rowOff>6350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9AE925-4906-3878-DFF6-F3BA9A7A76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13025" y="3079750"/>
              <a:ext cx="5073650" cy="28416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263525</xdr:colOff>
      <xdr:row>20</xdr:row>
      <xdr:rowOff>17462</xdr:rowOff>
    </xdr:from>
    <xdr:to>
      <xdr:col>4</xdr:col>
      <xdr:colOff>231775</xdr:colOff>
      <xdr:row>35</xdr:row>
      <xdr:rowOff>52387</xdr:rowOff>
    </xdr:to>
    <xdr:graphicFrame macro="">
      <xdr:nvGraphicFramePr>
        <xdr:cNvPr id="2" name="Chart 1">
          <a:extLst>
            <a:ext uri="{FF2B5EF4-FFF2-40B4-BE49-F238E27FC236}">
              <a16:creationId xmlns:a16="http://schemas.microsoft.com/office/drawing/2014/main" id="{B231C0B7-36EC-686F-EBF6-BE5C381DF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323850</xdr:colOff>
      <xdr:row>16</xdr:row>
      <xdr:rowOff>50799</xdr:rowOff>
    </xdr:from>
    <xdr:to>
      <xdr:col>8</xdr:col>
      <xdr:colOff>3673475</xdr:colOff>
      <xdr:row>31</xdr:row>
      <xdr:rowOff>76199</xdr:rowOff>
    </xdr:to>
    <xdr:graphicFrame macro="">
      <xdr:nvGraphicFramePr>
        <xdr:cNvPr id="3" name="Chart 2">
          <a:extLst>
            <a:ext uri="{FF2B5EF4-FFF2-40B4-BE49-F238E27FC236}">
              <a16:creationId xmlns:a16="http://schemas.microsoft.com/office/drawing/2014/main" id="{F7F5EAF5-BE98-43AE-949B-F9660BD71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34</xdr:row>
      <xdr:rowOff>69850</xdr:rowOff>
    </xdr:from>
    <xdr:to>
      <xdr:col>8</xdr:col>
      <xdr:colOff>3781425</xdr:colOff>
      <xdr:row>49</xdr:row>
      <xdr:rowOff>98425</xdr:rowOff>
    </xdr:to>
    <xdr:graphicFrame macro="">
      <xdr:nvGraphicFramePr>
        <xdr:cNvPr id="4" name="Chart 3">
          <a:extLst>
            <a:ext uri="{FF2B5EF4-FFF2-40B4-BE49-F238E27FC236}">
              <a16:creationId xmlns:a16="http://schemas.microsoft.com/office/drawing/2014/main" id="{0D182253-9DF5-4875-94F3-F45AE13C7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175419</xdr:colOff>
      <xdr:row>16</xdr:row>
      <xdr:rowOff>21431</xdr:rowOff>
    </xdr:from>
    <xdr:to>
      <xdr:col>13</xdr:col>
      <xdr:colOff>669131</xdr:colOff>
      <xdr:row>31</xdr:row>
      <xdr:rowOff>53181</xdr:rowOff>
    </xdr:to>
    <xdr:graphicFrame macro="">
      <xdr:nvGraphicFramePr>
        <xdr:cNvPr id="5" name="Chart 4">
          <a:extLst>
            <a:ext uri="{FF2B5EF4-FFF2-40B4-BE49-F238E27FC236}">
              <a16:creationId xmlns:a16="http://schemas.microsoft.com/office/drawing/2014/main" id="{2394249E-DF46-4D6A-88B7-7B849F479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381000</xdr:colOff>
      <xdr:row>0</xdr:row>
      <xdr:rowOff>101599</xdr:rowOff>
    </xdr:from>
    <xdr:to>
      <xdr:col>22</xdr:col>
      <xdr:colOff>485775</xdr:colOff>
      <xdr:row>18</xdr:row>
      <xdr:rowOff>47624</xdr:rowOff>
    </xdr:to>
    <xdr:graphicFrame macro="">
      <xdr:nvGraphicFramePr>
        <xdr:cNvPr id="6" name="Chart 5">
          <a:extLst>
            <a:ext uri="{FF2B5EF4-FFF2-40B4-BE49-F238E27FC236}">
              <a16:creationId xmlns:a16="http://schemas.microsoft.com/office/drawing/2014/main" id="{509A7529-8086-4423-A086-45C63D0F1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552450</xdr:colOff>
      <xdr:row>0</xdr:row>
      <xdr:rowOff>133350</xdr:rowOff>
    </xdr:from>
    <xdr:to>
      <xdr:col>30</xdr:col>
      <xdr:colOff>47625</xdr:colOff>
      <xdr:row>18</xdr:row>
      <xdr:rowOff>76200</xdr:rowOff>
    </xdr:to>
    <xdr:graphicFrame macro="">
      <xdr:nvGraphicFramePr>
        <xdr:cNvPr id="7" name="Chart 6">
          <a:extLst>
            <a:ext uri="{FF2B5EF4-FFF2-40B4-BE49-F238E27FC236}">
              <a16:creationId xmlns:a16="http://schemas.microsoft.com/office/drawing/2014/main" id="{CBC704CD-0D36-4DBD-9612-517D09860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254000</xdr:colOff>
      <xdr:row>20</xdr:row>
      <xdr:rowOff>63500</xdr:rowOff>
    </xdr:from>
    <xdr:to>
      <xdr:col>22</xdr:col>
      <xdr:colOff>361950</xdr:colOff>
      <xdr:row>38</xdr:row>
      <xdr:rowOff>9525</xdr:rowOff>
    </xdr:to>
    <xdr:graphicFrame macro="">
      <xdr:nvGraphicFramePr>
        <xdr:cNvPr id="8" name="Chart 7">
          <a:extLst>
            <a:ext uri="{FF2B5EF4-FFF2-40B4-BE49-F238E27FC236}">
              <a16:creationId xmlns:a16="http://schemas.microsoft.com/office/drawing/2014/main" id="{990FB946-19B3-4389-8BA5-D175649ED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406400</xdr:colOff>
      <xdr:row>50</xdr:row>
      <xdr:rowOff>36512</xdr:rowOff>
    </xdr:from>
    <xdr:to>
      <xdr:col>8</xdr:col>
      <xdr:colOff>3759200</xdr:colOff>
      <xdr:row>65</xdr:row>
      <xdr:rowOff>30162</xdr:rowOff>
    </xdr:to>
    <xdr:graphicFrame macro="">
      <xdr:nvGraphicFramePr>
        <xdr:cNvPr id="10" name="Chart 9">
          <a:extLst>
            <a:ext uri="{FF2B5EF4-FFF2-40B4-BE49-F238E27FC236}">
              <a16:creationId xmlns:a16="http://schemas.microsoft.com/office/drawing/2014/main" id="{FC691196-2414-F25A-6BDA-6F72D754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164354</xdr:colOff>
      <xdr:row>62</xdr:row>
      <xdr:rowOff>32871</xdr:rowOff>
    </xdr:from>
    <xdr:to>
      <xdr:col>15</xdr:col>
      <xdr:colOff>328706</xdr:colOff>
      <xdr:row>76</xdr:row>
      <xdr:rowOff>153894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8F7F133-3464-1E1E-94CD-EEDE7FAACF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775579" y="11862921"/>
              <a:ext cx="5241177" cy="278802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250657</xdr:colOff>
      <xdr:row>74</xdr:row>
      <xdr:rowOff>122676</xdr:rowOff>
    </xdr:from>
    <xdr:to>
      <xdr:col>13</xdr:col>
      <xdr:colOff>391613</xdr:colOff>
      <xdr:row>75</xdr:row>
      <xdr:rowOff>43446</xdr:rowOff>
    </xdr:to>
    <xdr:sp macro="" textlink="">
      <xdr:nvSpPr>
        <xdr:cNvPr id="11" name="Right Bracket 10">
          <a:extLst>
            <a:ext uri="{FF2B5EF4-FFF2-40B4-BE49-F238E27FC236}">
              <a16:creationId xmlns:a16="http://schemas.microsoft.com/office/drawing/2014/main" id="{2D671B8F-F4F1-0352-0E3F-675216A0B0D0}"/>
            </a:ext>
          </a:extLst>
        </xdr:cNvPr>
        <xdr:cNvSpPr/>
      </xdr:nvSpPr>
      <xdr:spPr>
        <a:xfrm rot="5400000">
          <a:off x="15171290" y="13319175"/>
          <a:ext cx="104585" cy="1050009"/>
        </a:xfrm>
        <a:prstGeom prst="rightBracket">
          <a:avLst/>
        </a:prstGeom>
        <a:ln w="9525">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oneCellAnchor>
    <xdr:from>
      <xdr:col>12</xdr:col>
      <xdr:colOff>619626</xdr:colOff>
      <xdr:row>75</xdr:row>
      <xdr:rowOff>9692</xdr:rowOff>
    </xdr:from>
    <xdr:ext cx="325217" cy="264560"/>
    <xdr:sp macro="" textlink="">
      <xdr:nvSpPr>
        <xdr:cNvPr id="12" name="TextBox 11">
          <a:extLst>
            <a:ext uri="{FF2B5EF4-FFF2-40B4-BE49-F238E27FC236}">
              <a16:creationId xmlns:a16="http://schemas.microsoft.com/office/drawing/2014/main" id="{28EAECF1-FDD5-F787-531E-8A8E9BEC9249}"/>
            </a:ext>
          </a:extLst>
        </xdr:cNvPr>
        <xdr:cNvSpPr txBox="1"/>
      </xdr:nvSpPr>
      <xdr:spPr>
        <a:xfrm>
          <a:off x="15078576" y="13833642"/>
          <a:ext cx="3252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kern="1200">
              <a:solidFill>
                <a:schemeClr val="bg2">
                  <a:lumMod val="50000"/>
                </a:schemeClr>
              </a:solidFill>
            </a:rPr>
            <a:t>**</a:t>
          </a:r>
        </a:p>
      </xdr:txBody>
    </xdr:sp>
    <xdr:clientData/>
  </xdr:oneCellAnchor>
  <xdr:twoCellAnchor>
    <xdr:from>
      <xdr:col>23</xdr:col>
      <xdr:colOff>9525</xdr:colOff>
      <xdr:row>109</xdr:row>
      <xdr:rowOff>100012</xdr:rowOff>
    </xdr:from>
    <xdr:to>
      <xdr:col>30</xdr:col>
      <xdr:colOff>314325</xdr:colOff>
      <xdr:row>123</xdr:row>
      <xdr:rowOff>147637</xdr:rowOff>
    </xdr:to>
    <xdr:graphicFrame macro="">
      <xdr:nvGraphicFramePr>
        <xdr:cNvPr id="13" name="Chart 12">
          <a:extLst>
            <a:ext uri="{FF2B5EF4-FFF2-40B4-BE49-F238E27FC236}">
              <a16:creationId xmlns:a16="http://schemas.microsoft.com/office/drawing/2014/main" id="{694610D3-EB1C-DAFA-DA85-7963CDB0E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0</xdr:colOff>
      <xdr:row>126</xdr:row>
      <xdr:rowOff>0</xdr:rowOff>
    </xdr:from>
    <xdr:to>
      <xdr:col>30</xdr:col>
      <xdr:colOff>304800</xdr:colOff>
      <xdr:row>140</xdr:row>
      <xdr:rowOff>76200</xdr:rowOff>
    </xdr:to>
    <xdr:graphicFrame macro="">
      <xdr:nvGraphicFramePr>
        <xdr:cNvPr id="14" name="Chart 13">
          <a:extLst>
            <a:ext uri="{FF2B5EF4-FFF2-40B4-BE49-F238E27FC236}">
              <a16:creationId xmlns:a16="http://schemas.microsoft.com/office/drawing/2014/main" id="{D04711CD-1E74-4605-A255-18519F917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142</xdr:row>
      <xdr:rowOff>0</xdr:rowOff>
    </xdr:from>
    <xdr:to>
      <xdr:col>30</xdr:col>
      <xdr:colOff>304800</xdr:colOff>
      <xdr:row>156</xdr:row>
      <xdr:rowOff>76200</xdr:rowOff>
    </xdr:to>
    <xdr:graphicFrame macro="">
      <xdr:nvGraphicFramePr>
        <xdr:cNvPr id="15" name="Chart 14">
          <a:extLst>
            <a:ext uri="{FF2B5EF4-FFF2-40B4-BE49-F238E27FC236}">
              <a16:creationId xmlns:a16="http://schemas.microsoft.com/office/drawing/2014/main" id="{620FDF4C-BA19-470B-AE5F-73D314890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528638</xdr:colOff>
      <xdr:row>28</xdr:row>
      <xdr:rowOff>146050</xdr:rowOff>
    </xdr:from>
    <xdr:to>
      <xdr:col>15</xdr:col>
      <xdr:colOff>206375</xdr:colOff>
      <xdr:row>41</xdr:row>
      <xdr:rowOff>15876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C091EC3-4082-B497-BD51-15A1FFB0C1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48588" y="5499100"/>
              <a:ext cx="3211512" cy="235585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164773</xdr:colOff>
      <xdr:row>16</xdr:row>
      <xdr:rowOff>23868</xdr:rowOff>
    </xdr:from>
    <xdr:to>
      <xdr:col>6</xdr:col>
      <xdr:colOff>564931</xdr:colOff>
      <xdr:row>33</xdr:row>
      <xdr:rowOff>140358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21AFA72-F260-644B-8F00-F76B6A97F6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4773" y="3071868"/>
              <a:ext cx="4057758" cy="338356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118242</xdr:colOff>
      <xdr:row>31</xdr:row>
      <xdr:rowOff>74448</xdr:rowOff>
    </xdr:from>
    <xdr:to>
      <xdr:col>4</xdr:col>
      <xdr:colOff>324069</xdr:colOff>
      <xdr:row>31</xdr:row>
      <xdr:rowOff>144521</xdr:rowOff>
    </xdr:to>
    <xdr:sp macro="" textlink="">
      <xdr:nvSpPr>
        <xdr:cNvPr id="3" name="Right Bracket 2">
          <a:extLst>
            <a:ext uri="{FF2B5EF4-FFF2-40B4-BE49-F238E27FC236}">
              <a16:creationId xmlns:a16="http://schemas.microsoft.com/office/drawing/2014/main" id="{991DCF15-4252-48FA-9A77-51DD0CF16698}"/>
            </a:ext>
          </a:extLst>
        </xdr:cNvPr>
        <xdr:cNvSpPr/>
      </xdr:nvSpPr>
      <xdr:spPr>
        <a:xfrm rot="5400000">
          <a:off x="2316653" y="5421588"/>
          <a:ext cx="70073" cy="814552"/>
        </a:xfrm>
        <a:prstGeom prst="rightBracket">
          <a:avLst/>
        </a:prstGeom>
        <a:ln w="9525">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kern="1200"/>
        </a:p>
      </xdr:txBody>
    </xdr:sp>
    <xdr:clientData/>
  </xdr:twoCellAnchor>
  <xdr:oneCellAnchor>
    <xdr:from>
      <xdr:col>3</xdr:col>
      <xdr:colOff>385612</xdr:colOff>
      <xdr:row>31</xdr:row>
      <xdr:rowOff>142058</xdr:rowOff>
    </xdr:from>
    <xdr:ext cx="254942" cy="264560"/>
    <xdr:sp macro="" textlink="">
      <xdr:nvSpPr>
        <xdr:cNvPr id="4" name="TextBox 3">
          <a:extLst>
            <a:ext uri="{FF2B5EF4-FFF2-40B4-BE49-F238E27FC236}">
              <a16:creationId xmlns:a16="http://schemas.microsoft.com/office/drawing/2014/main" id="{C3CD88C7-C5D2-49B6-9613-D694FF38EC3F}"/>
            </a:ext>
          </a:extLst>
        </xdr:cNvPr>
        <xdr:cNvSpPr txBox="1"/>
      </xdr:nvSpPr>
      <xdr:spPr>
        <a:xfrm>
          <a:off x="2211784" y="5861437"/>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kern="1200">
              <a:solidFill>
                <a:schemeClr val="bg2">
                  <a:lumMod val="50000"/>
                </a:schemeClr>
              </a:solidFill>
            </a:rPr>
            <a: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ana Cristina Dobre" refreshedDate="45909.628909606479" createdVersion="8" refreshedVersion="8" minRefreshableVersion="3" recordCount="22" xr:uid="{77026A98-5BF3-494A-8C44-DC2A6941EB79}">
  <cacheSource type="worksheet">
    <worksheetSource name="Table15"/>
  </cacheSource>
  <cacheFields count="3">
    <cacheField name="group_name_short" numFmtId="0">
      <sharedItems/>
    </cacheField>
    <cacheField name="gender" numFmtId="0">
      <sharedItems count="2">
        <s v="F"/>
        <s v="M"/>
      </sharedItems>
    </cacheField>
    <cacheField name="mean_blink_duration_ms" numFmtId="0">
      <sharedItems containsSemiMixedTypes="0" containsString="0" containsNumber="1" minValue="155.07327599999999" maxValue="259.64483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ana Cristina Dobre" refreshedDate="45909.629982986109" createdVersion="8" refreshedVersion="8" minRefreshableVersion="3" recordCount="42" xr:uid="{4A7EBD6F-E6BC-4DB1-9085-399A4F73DACA}">
  <cacheSource type="worksheet">
    <worksheetSource name="Table16"/>
  </cacheSource>
  <cacheFields count="3">
    <cacheField name="group_name_short" numFmtId="0">
      <sharedItems/>
    </cacheField>
    <cacheField name="gender" numFmtId="0">
      <sharedItems count="2">
        <s v="F"/>
        <s v="M"/>
      </sharedItems>
    </cacheField>
    <cacheField name="mean_blink_duration_ms" numFmtId="0">
      <sharedItems containsSemiMixedTypes="0" containsString="0" containsNumber="1" minValue="125.67857100000001" maxValue="253.1282050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ana Cristina Dobre" refreshedDate="45909.637240856478" createdVersion="8" refreshedVersion="8" minRefreshableVersion="3" recordCount="42" xr:uid="{AC9A1C47-8C71-497E-AA51-4BDB71FDFD9D}">
  <cacheSource type="worksheet">
    <worksheetSource name="Table20"/>
  </cacheSource>
  <cacheFields count="3">
    <cacheField name="group_name_short" numFmtId="0">
      <sharedItems/>
    </cacheField>
    <cacheField name="gender" numFmtId="0">
      <sharedItems count="2">
        <s v="F"/>
        <s v="M"/>
      </sharedItems>
    </cacheField>
    <cacheField name="BRM" numFmtId="0">
      <sharedItems containsSemiMixedTypes="0" containsString="0" containsNumber="1" minValue="2.2134100000000001" maxValue="58.12490900000000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iana Cristina Dobre" refreshedDate="45910.560668518519" createdVersion="8" refreshedVersion="8" minRefreshableVersion="3" recordCount="22" xr:uid="{26F17996-E6F6-4253-BF34-9248E19535C9}">
  <cacheSource type="worksheet">
    <worksheetSource name="Table19"/>
  </cacheSource>
  <cacheFields count="3">
    <cacheField name="short_group_name" numFmtId="0">
      <sharedItems/>
    </cacheField>
    <cacheField name="gender" numFmtId="0">
      <sharedItems count="2">
        <s v="F"/>
        <s v="M"/>
      </sharedItems>
    </cacheField>
    <cacheField name="BRM" numFmtId="0">
      <sharedItems containsSemiMixedTypes="0" containsString="0" containsNumber="1" minValue="2.4711409999999998" maxValue="60.294035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dyad_01"/>
    <x v="0"/>
    <n v="155.283019"/>
  </r>
  <r>
    <s v="dyad_02"/>
    <x v="1"/>
    <n v="218.36752100000001"/>
  </r>
  <r>
    <s v="dyad_03"/>
    <x v="0"/>
    <n v="204.75380699999999"/>
  </r>
  <r>
    <s v="dyad_04"/>
    <x v="0"/>
    <n v="155.45097999999999"/>
  </r>
  <r>
    <s v="dyad_05"/>
    <x v="1"/>
    <n v="241.208955"/>
  </r>
  <r>
    <s v="dyad_06"/>
    <x v="1"/>
    <n v="210.85906"/>
  </r>
  <r>
    <s v="dyad_07"/>
    <x v="1"/>
    <n v="193.80620200000001"/>
  </r>
  <r>
    <s v="dyad_08"/>
    <x v="1"/>
    <n v="158.79097400000001"/>
  </r>
  <r>
    <s v="dyad_09"/>
    <x v="0"/>
    <n v="159.34567899999999"/>
  </r>
  <r>
    <s v="dyad_10"/>
    <x v="1"/>
    <n v="233.86496399999999"/>
  </r>
  <r>
    <s v="dyad_11"/>
    <x v="1"/>
    <n v="162.87719300000001"/>
  </r>
  <r>
    <s v="dyad_01"/>
    <x v="0"/>
    <n v="175.88665"/>
  </r>
  <r>
    <s v="dyad_02"/>
    <x v="0"/>
    <n v="259.644836"/>
  </r>
  <r>
    <s v="dyad_03"/>
    <x v="0"/>
    <n v="162.682692"/>
  </r>
  <r>
    <s v="dyad_04"/>
    <x v="0"/>
    <n v="176.07033000000001"/>
  </r>
  <r>
    <s v="dyad_05"/>
    <x v="1"/>
    <n v="190.61299399999999"/>
  </r>
  <r>
    <s v="dyad_06"/>
    <x v="0"/>
    <n v="185.06127499999999"/>
  </r>
  <r>
    <s v="dyad_07"/>
    <x v="1"/>
    <n v="155.07327599999999"/>
  </r>
  <r>
    <s v="dyad_08"/>
    <x v="0"/>
    <n v="193.030303"/>
  </r>
  <r>
    <s v="dyad_09"/>
    <x v="0"/>
    <n v="186.157534"/>
  </r>
  <r>
    <s v="dyad_10"/>
    <x v="1"/>
    <n v="190.47191000000001"/>
  </r>
  <r>
    <s v="dyad_11"/>
    <x v="1"/>
    <n v="201.666666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triad_01"/>
    <x v="0"/>
    <n v="192.61988299999999"/>
  </r>
  <r>
    <s v="triad_03"/>
    <x v="0"/>
    <n v="140.052885"/>
  </r>
  <r>
    <s v="triad_04"/>
    <x v="0"/>
    <n v="125.67857100000001"/>
  </r>
  <r>
    <s v="triad_05"/>
    <x v="0"/>
    <n v="197.77333300000001"/>
  </r>
  <r>
    <s v="triad_06"/>
    <x v="0"/>
    <n v="148.419355"/>
  </r>
  <r>
    <s v="triad_07"/>
    <x v="0"/>
    <n v="133.942857"/>
  </r>
  <r>
    <s v="triad_08"/>
    <x v="0"/>
    <n v="206.78022000000001"/>
  </r>
  <r>
    <s v="triad_09"/>
    <x v="0"/>
    <n v="170.885965"/>
  </r>
  <r>
    <s v="triad_02"/>
    <x v="0"/>
    <n v="190.14367799999999"/>
  </r>
  <r>
    <s v="triad_11"/>
    <x v="1"/>
    <n v="149.02941200000001"/>
  </r>
  <r>
    <s v="triad_10"/>
    <x v="1"/>
    <n v="179.045455"/>
  </r>
  <r>
    <s v="triad_14"/>
    <x v="0"/>
    <n v="155.252137"/>
  </r>
  <r>
    <s v="triad_12"/>
    <x v="1"/>
    <n v="190.340136"/>
  </r>
  <r>
    <s v="triad_13"/>
    <x v="0"/>
    <n v="150.79701499999999"/>
  </r>
  <r>
    <s v="triad_01"/>
    <x v="1"/>
    <n v="153.51952"/>
  </r>
  <r>
    <s v="triad_03"/>
    <x v="0"/>
    <n v="175.77197799999999"/>
  </r>
  <r>
    <s v="triad_04"/>
    <x v="1"/>
    <n v="171.88356200000001"/>
  </r>
  <r>
    <s v="triad_05"/>
    <x v="0"/>
    <n v="165.45217400000001"/>
  </r>
  <r>
    <s v="triad_06"/>
    <x v="0"/>
    <n v="213.963964"/>
  </r>
  <r>
    <s v="triad_07"/>
    <x v="0"/>
    <n v="253.12820500000001"/>
  </r>
  <r>
    <s v="triad_08"/>
    <x v="1"/>
    <n v="174.05384599999999"/>
  </r>
  <r>
    <s v="triad_09"/>
    <x v="0"/>
    <n v="240.30364399999999"/>
  </r>
  <r>
    <s v="triad_02"/>
    <x v="1"/>
    <n v="176.79674800000001"/>
  </r>
  <r>
    <s v="triad_11"/>
    <x v="0"/>
    <n v="165.265152"/>
  </r>
  <r>
    <s v="triad_10"/>
    <x v="1"/>
    <n v="181.13793100000001"/>
  </r>
  <r>
    <s v="triad_14"/>
    <x v="0"/>
    <n v="194.52795"/>
  </r>
  <r>
    <s v="triad_12"/>
    <x v="1"/>
    <n v="168.39919399999999"/>
  </r>
  <r>
    <s v="triad_13"/>
    <x v="0"/>
    <n v="156.904977"/>
  </r>
  <r>
    <s v="triad_01"/>
    <x v="0"/>
    <n v="166.052301"/>
  </r>
  <r>
    <s v="triad_03"/>
    <x v="0"/>
    <n v="235.84090900000001"/>
  </r>
  <r>
    <s v="triad_04"/>
    <x v="0"/>
    <n v="172.36824300000001"/>
  </r>
  <r>
    <s v="triad_05"/>
    <x v="0"/>
    <n v="156.27201099999999"/>
  </r>
  <r>
    <s v="triad_06"/>
    <x v="0"/>
    <n v="182.36454800000001"/>
  </r>
  <r>
    <s v="triad_07"/>
    <x v="0"/>
    <n v="166.39393899999999"/>
  </r>
  <r>
    <s v="triad_08"/>
    <x v="0"/>
    <n v="162.85869600000001"/>
  </r>
  <r>
    <s v="triad_09"/>
    <x v="0"/>
    <n v="178.34482800000001"/>
  </r>
  <r>
    <s v="triad_02"/>
    <x v="0"/>
    <n v="193.95132699999999"/>
  </r>
  <r>
    <s v="triad_11"/>
    <x v="0"/>
    <n v="226.71977999999999"/>
  </r>
  <r>
    <s v="triad_10"/>
    <x v="0"/>
    <n v="153.97183100000001"/>
  </r>
  <r>
    <s v="triad_14"/>
    <x v="1"/>
    <n v="173.75877199999999"/>
  </r>
  <r>
    <s v="triad_12"/>
    <x v="1"/>
    <n v="227.647887"/>
  </r>
  <r>
    <s v="triad_13"/>
    <x v="1"/>
    <n v="177.0142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triad_01"/>
    <x v="0"/>
    <n v="13.27946"/>
  </r>
  <r>
    <s v="triad_03"/>
    <x v="0"/>
    <n v="18.098331000000002"/>
  </r>
  <r>
    <s v="triad_04"/>
    <x v="0"/>
    <n v="2.2134100000000001"/>
  </r>
  <r>
    <s v="triad_05"/>
    <x v="0"/>
    <n v="24.187462"/>
  </r>
  <r>
    <s v="triad_06"/>
    <x v="0"/>
    <n v="13.098208"/>
  </r>
  <r>
    <s v="triad_07"/>
    <x v="0"/>
    <n v="9.9307610000000004"/>
  </r>
  <r>
    <s v="triad_08"/>
    <x v="0"/>
    <n v="18.789473999999998"/>
  </r>
  <r>
    <s v="triad_09"/>
    <x v="0"/>
    <n v="13.606121"/>
  </r>
  <r>
    <s v="triad_02"/>
    <x v="0"/>
    <n v="31.080375"/>
  </r>
  <r>
    <s v="triad_11"/>
    <x v="1"/>
    <n v="32.160544999999999"/>
  </r>
  <r>
    <s v="triad_10"/>
    <x v="1"/>
    <n v="15.797788000000001"/>
  </r>
  <r>
    <s v="triad_14"/>
    <x v="0"/>
    <n v="21.965651999999999"/>
  </r>
  <r>
    <s v="triad_12"/>
    <x v="1"/>
    <n v="18.728362000000001"/>
  </r>
  <r>
    <s v="triad_13"/>
    <x v="0"/>
    <n v="28.657671000000001"/>
  </r>
  <r>
    <s v="triad_01"/>
    <x v="1"/>
    <n v="26.720863999999999"/>
  </r>
  <r>
    <s v="triad_03"/>
    <x v="0"/>
    <n v="29.803229999999999"/>
  </r>
  <r>
    <s v="triad_04"/>
    <x v="1"/>
    <n v="11.462300000000001"/>
  </r>
  <r>
    <s v="triad_05"/>
    <x v="0"/>
    <n v="7.7812380000000001"/>
  </r>
  <r>
    <s v="triad_06"/>
    <x v="0"/>
    <n v="8.8605520000000002"/>
  </r>
  <r>
    <s v="triad_07"/>
    <x v="0"/>
    <n v="10.206614999999999"/>
  </r>
  <r>
    <s v="triad_08"/>
    <x v="1"/>
    <n v="14.210526"/>
  </r>
  <r>
    <s v="triad_09"/>
    <x v="0"/>
    <n v="26.940118999999999"/>
  </r>
  <r>
    <s v="triad_02"/>
    <x v="1"/>
    <n v="10.094481"/>
  </r>
  <r>
    <s v="triad_11"/>
    <x v="0"/>
    <n v="19.296327000000002"/>
  </r>
  <r>
    <s v="triad_10"/>
    <x v="1"/>
    <n v="20.227074999999999"/>
  </r>
  <r>
    <s v="triad_14"/>
    <x v="0"/>
    <n v="14.677982999999999"/>
  </r>
  <r>
    <s v="triad_12"/>
    <x v="1"/>
    <n v="28.883882"/>
  </r>
  <r>
    <s v="triad_13"/>
    <x v="0"/>
    <n v="20.567240000000002"/>
  </r>
  <r>
    <s v="triad_01"/>
    <x v="0"/>
    <n v="36.113652999999999"/>
  </r>
  <r>
    <s v="triad_03"/>
    <x v="0"/>
    <n v="14.655714"/>
  </r>
  <r>
    <s v="triad_04"/>
    <x v="0"/>
    <n v="22.608398000000001"/>
  </r>
  <r>
    <s v="triad_05"/>
    <x v="0"/>
    <n v="58.124909000000002"/>
  </r>
  <r>
    <s v="triad_06"/>
    <x v="0"/>
    <n v="23.981276999999999"/>
  </r>
  <r>
    <s v="triad_07"/>
    <x v="0"/>
    <n v="6.4825799999999996"/>
  </r>
  <r>
    <s v="triad_08"/>
    <x v="0"/>
    <n v="7.4210529999999997"/>
  </r>
  <r>
    <s v="triad_09"/>
    <x v="0"/>
    <n v="34.287424999999999"/>
  </r>
  <r>
    <s v="triad_02"/>
    <x v="0"/>
    <n v="17.930986000000001"/>
  </r>
  <r>
    <s v="triad_11"/>
    <x v="0"/>
    <n v="21.611886999999999"/>
  </r>
  <r>
    <s v="triad_10"/>
    <x v="0"/>
    <n v="18.307717"/>
  </r>
  <r>
    <s v="triad_14"/>
    <x v="1"/>
    <n v="21.452435999999999"/>
  </r>
  <r>
    <s v="triad_12"/>
    <x v="1"/>
    <n v="17.541353000000001"/>
  </r>
  <r>
    <s v="triad_13"/>
    <x v="1"/>
    <n v="19.59248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dyad_01"/>
    <x v="0"/>
    <n v="2.4711409999999998"/>
  </r>
  <r>
    <s v="dyad_03"/>
    <x v="0"/>
    <n v="32.033904"/>
  </r>
  <r>
    <s v="dyad_04"/>
    <x v="0"/>
    <n v="38.272494999999999"/>
  </r>
  <r>
    <s v="dyad_09"/>
    <x v="0"/>
    <n v="5.3683930000000002"/>
  </r>
  <r>
    <s v="dyad_01"/>
    <x v="0"/>
    <n v="30.938687999999999"/>
  </r>
  <r>
    <s v="dyad_02"/>
    <x v="0"/>
    <n v="31.456980000000001"/>
  </r>
  <r>
    <s v="dyad_03"/>
    <x v="0"/>
    <n v="34.357607000000002"/>
  </r>
  <r>
    <s v="dyad_04"/>
    <x v="0"/>
    <n v="39.090671999999998"/>
  </r>
  <r>
    <s v="dyad_06"/>
    <x v="0"/>
    <n v="38.751725"/>
  </r>
  <r>
    <s v="dyad_08"/>
    <x v="0"/>
    <n v="25.324967000000001"/>
  </r>
  <r>
    <s v="dyad_09"/>
    <x v="0"/>
    <n v="24.631449"/>
  </r>
  <r>
    <s v="dyad_02"/>
    <x v="1"/>
    <n v="32.792991000000001"/>
  </r>
  <r>
    <s v="dyad_05"/>
    <x v="1"/>
    <n v="17.652170000000002"/>
  </r>
  <r>
    <s v="dyad_06"/>
    <x v="1"/>
    <n v="13.541086"/>
  </r>
  <r>
    <s v="dyad_07"/>
    <x v="1"/>
    <n v="22.615593000000001"/>
  </r>
  <r>
    <s v="dyad_08"/>
    <x v="1"/>
    <n v="60.294035000000001"/>
  </r>
  <r>
    <s v="dyad_10"/>
    <x v="1"/>
    <n v="27.407136999999999"/>
  </r>
  <r>
    <s v="dyad_11"/>
    <x v="1"/>
    <n v="18.118190999999999"/>
  </r>
  <r>
    <s v="dyad_05"/>
    <x v="1"/>
    <n v="30.456852999999999"/>
  </r>
  <r>
    <s v="dyad_07"/>
    <x v="1"/>
    <n v="41.354227999999999"/>
  </r>
  <r>
    <s v="dyad_10"/>
    <x v="1"/>
    <n v="20.296095999999999"/>
  </r>
  <r>
    <s v="dyad_11"/>
    <x v="1"/>
    <n v="35.347144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267E0-450F-4AA8-AE38-530E9372F32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8:F71"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Average of mean_blink_duration_ms"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FE5B86-9557-460C-87A8-743CCEBCEE57}"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9:Q72"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Average of mean_blink_duration_ms"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2DF9C4-357E-4B31-A6A9-48544674DC2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0:G153"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Average of BRM"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2A65A-0C8B-4918-8B54-3F35DB31E132}"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4:P157"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Average of BRM"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ED4B9B-8B77-46CF-A6E2-C270AF52D3C7}" name="Table7" displayName="Table7" ref="B1:F12" totalsRowShown="0">
  <autoFilter ref="B1:F12" xr:uid="{F6ED4B9B-8B77-46CF-A6E2-C270AF52D3C7}"/>
  <tableColumns count="5">
    <tableColumn id="1" xr3:uid="{E5F0A9EF-0D68-42CC-85AC-6D58A1901A1A}" name="group_name"/>
    <tableColumn id="2" xr3:uid="{00ABDBDA-0A36-44EA-BE12-E663AF37FD44}" name="group_size"/>
    <tableColumn id="3" xr3:uid="{7DA87021-EB8A-4DAF-893E-A1A0D824563F}" name="P1_mean_blink_duration_ms"/>
    <tableColumn id="4" xr3:uid="{6DD1DFF0-25D2-4B2D-896C-D65281AEE46C}" name="P2_mean_blink_duration_ms"/>
    <tableColumn id="5" xr3:uid="{080163F4-E8FE-4E2C-834E-E0E65883FF9C}" name="group_mean_blink_duration_m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ED66298-7890-498B-98F2-11D90C33227F}" name="Table8" displayName="Table8" ref="I1:N15" totalsRowShown="0">
  <autoFilter ref="I1:N15" xr:uid="{FED66298-7890-498B-98F2-11D90C33227F}"/>
  <tableColumns count="6">
    <tableColumn id="1" xr3:uid="{6B2E4683-6B9D-453D-B1C6-66F21E008D10}" name="group_name"/>
    <tableColumn id="2" xr3:uid="{18C0CC99-6FE6-4C91-A3E0-37753A412605}" name="group_size"/>
    <tableColumn id="3" xr3:uid="{B8672744-449C-4C6A-B11A-424A596C596D}" name="P1_mean_blink_duration_ms"/>
    <tableColumn id="4" xr3:uid="{B48FD70D-BC1B-4E1F-B097-92536C36CEE9}" name="P2_mean_blink_duration_ms"/>
    <tableColumn id="5" xr3:uid="{741C8708-38AB-44DF-A99F-F74450F7429D}" name="P3_mean_blink_duration_ms"/>
    <tableColumn id="6" xr3:uid="{C7969031-BD34-4F92-9F66-11938F0FCA70}" name="group_mean_blink_duration_m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4760145-4C16-4033-A82E-87B229559550}" name="Table13" displayName="Table13" ref="A53:H64" totalsRowShown="0">
  <autoFilter ref="A53:H64" xr:uid="{74760145-4C16-4033-A82E-87B229559550}"/>
  <tableColumns count="8">
    <tableColumn id="1" xr3:uid="{A1A067A2-BAA2-40FA-9BF4-7FEFA08FB528}" name="group_name_short"/>
    <tableColumn id="2" xr3:uid="{87ECF523-110D-4154-B3A5-8887AF7A0F46}" name="group_name"/>
    <tableColumn id="3" xr3:uid="{896D9B42-2273-46F8-B743-835BB97E4AE8}" name="group_size"/>
    <tableColumn id="7" xr3:uid="{69966552-CF31-438E-8FA9-BE2A5E88FAC9}" name="P1_gender"/>
    <tableColumn id="4" xr3:uid="{5A2E3263-D777-4053-BD11-DCC52052C267}" name="P1_mean_blink_duration_ms"/>
    <tableColumn id="8" xr3:uid="{3D5C05A1-85E0-4094-A2D9-20563921DE31}" name="P2_gender"/>
    <tableColumn id="5" xr3:uid="{39823323-8935-47A6-B378-D5A5BB51E7CE}" name="P2_mean_blink_duration_ms"/>
    <tableColumn id="6" xr3:uid="{A823AD25-EA0B-45CF-9563-D312DDEA643F}" name="group_mean_blink_duration_m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720AA04-FEBA-4415-A7F3-F59E365110E9}" name="Table14" displayName="Table14" ref="L52:U66" totalsRowShown="0">
  <autoFilter ref="L52:U66" xr:uid="{2720AA04-FEBA-4415-A7F3-F59E365110E9}"/>
  <tableColumns count="10">
    <tableColumn id="1" xr3:uid="{7B463F6F-051D-4EE6-821C-15AED94CE41A}" name="group_name_short"/>
    <tableColumn id="2" xr3:uid="{7297E81D-534F-4567-A6B8-F9BC6C880626}" name="group_name"/>
    <tableColumn id="3" xr3:uid="{530829EC-26A8-4FF5-B449-A7D81A50FA9F}" name="group_size"/>
    <tableColumn id="8" xr3:uid="{F2562DB2-7CA2-4FB9-905C-F25F8566CF5C}" name="P1_gender"/>
    <tableColumn id="4" xr3:uid="{B654737D-98F9-4515-9AB7-F633720F9E57}" name="P1_mean_blink_duration_ms"/>
    <tableColumn id="9" xr3:uid="{16D1A11B-D46F-46A0-BA16-22AD8BC6490A}" name="P2_gender"/>
    <tableColumn id="5" xr3:uid="{24F86799-7492-4DCC-9F0A-65E612F158F4}" name="P2_mean_blink_duration_ms"/>
    <tableColumn id="10" xr3:uid="{C5401552-A79E-4E6F-9850-CF3D2EA6C197}" name="P3_gender"/>
    <tableColumn id="6" xr3:uid="{FD0A4B73-4A6E-499A-A9BA-EF1A6EF1C5DA}" name="P3_mean_blink_duration_ms"/>
    <tableColumn id="7" xr3:uid="{12871194-D9ED-4A3A-9778-98BE28CAB2B1}" name="group_mean_blink_duration_ms"/>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A7F68AD-418F-431C-B9F0-FF5C5B4BEEF7}" name="Table15" displayName="Table15" ref="A68:C90" totalsRowShown="0">
  <autoFilter ref="A68:C90" xr:uid="{9A7F68AD-418F-431C-B9F0-FF5C5B4BEEF7}"/>
  <sortState xmlns:xlrd2="http://schemas.microsoft.com/office/spreadsheetml/2017/richdata2" ref="A69:C90">
    <sortCondition ref="B68:B90"/>
  </sortState>
  <tableColumns count="3">
    <tableColumn id="1" xr3:uid="{8A6B19DA-0A67-45D7-AA5E-FBD702D4CE9E}" name="group_name_short"/>
    <tableColumn id="2" xr3:uid="{BC75F507-7ECF-43C7-9EB3-FBD28265E747}" name="gender" dataDxfId="45"/>
    <tableColumn id="3" xr3:uid="{40CDA364-0895-445E-AC23-1D8A53951A7D}" name="mean_blink_duration_ms"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F2AB8C8-AB4B-4F10-9AD4-BF6972AB8A75}" name="Table16" displayName="Table16" ref="L69:N111" totalsRowShown="0" headerRowDxfId="43" dataDxfId="42" tableBorderDxfId="41">
  <autoFilter ref="L69:N111" xr:uid="{6F2AB8C8-AB4B-4F10-9AD4-BF6972AB8A75}"/>
  <sortState xmlns:xlrd2="http://schemas.microsoft.com/office/spreadsheetml/2017/richdata2" ref="L70:N111">
    <sortCondition ref="M69:M111"/>
  </sortState>
  <tableColumns count="3">
    <tableColumn id="1" xr3:uid="{ADA38E17-825F-4F62-B2BD-85835AAAB86D}" name="group_name_short" dataDxfId="40"/>
    <tableColumn id="2" xr3:uid="{27F8188E-11C6-411C-B1B2-BC5C2F1E8BEC}" name="gender" dataDxfId="39"/>
    <tableColumn id="3" xr3:uid="{39F8D9CA-6B6A-4D8D-95C8-36201FCE4048}" name="mean_blink_duration_ms" dataDxfId="38"/>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080257-BFA1-460B-B07A-36A64761A16A}" name="Table1" displayName="Table1" ref="C1:F12" totalsRowShown="0" dataDxfId="37">
  <autoFilter ref="C1:F12" xr:uid="{AD080257-BFA1-460B-B07A-36A64761A16A}"/>
  <tableColumns count="4">
    <tableColumn id="1" xr3:uid="{4F27821A-74B4-4054-BD57-59CB04F69638}" name="Group" dataDxfId="36"/>
    <tableColumn id="2" xr3:uid="{40FF8A35-FADD-40F8-9C7C-8272D131492D}" name="P1" dataDxfId="35"/>
    <tableColumn id="3" xr3:uid="{57E54AEA-9EE5-4960-BBF2-37C5CACE9F4B}" name="P2" dataDxfId="34"/>
    <tableColumn id="4" xr3:uid="{9B5C91BC-FC38-40B1-900E-1D679A89BBE9}" name="P1_P2_AVG" dataDxfId="33">
      <calculatedColumnFormula>AVERAGE(Table1[[#This Row],[P1]]:Table1[[#This Row],[P2]])</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13B083-0BCB-449A-A18A-943282863FFE}" name="Table2" displayName="Table2" ref="I1:P15" totalsRowShown="0" dataDxfId="32">
  <autoFilter ref="I1:P15" xr:uid="{1613B083-0BCB-449A-A18A-943282863FFE}"/>
  <tableColumns count="8">
    <tableColumn id="1" xr3:uid="{4B00F100-EEAB-4176-8F7C-64576AF95E9C}" name="Group" dataDxfId="31"/>
    <tableColumn id="2" xr3:uid="{0C1C6D39-9F0B-4EFB-8FFF-6819FFEE1A73}" name="P1" dataDxfId="30"/>
    <tableColumn id="3" xr3:uid="{4B646295-E6BA-4208-9890-BF77B7CC4DB0}" name="P2" dataDxfId="29"/>
    <tableColumn id="4" xr3:uid="{90141FC2-ED7D-4A6B-AFC1-04A51D13EAB7}" name="P3" dataDxfId="28"/>
    <tableColumn id="5" xr3:uid="{45EA91F4-80A5-4D09-8BA5-58CA8E684F50}" name="avg_P1P2" dataDxfId="27">
      <calculatedColumnFormula>AVERAGE(Table2[[#This Row],[P1]:[P2]])</calculatedColumnFormula>
    </tableColumn>
    <tableColumn id="6" xr3:uid="{8D95483F-1D1F-4BC0-9A13-DB0617692381}" name="avg_P1P3" dataDxfId="26">
      <calculatedColumnFormula>AVERAGE(J2,L2)</calculatedColumnFormula>
    </tableColumn>
    <tableColumn id="7" xr3:uid="{CEE85F33-BF2F-4114-920C-22ACF0374CF1}" name="avg_P2P3" dataDxfId="25">
      <calculatedColumnFormula>AVERAGE(Table2[[#This Row],[P2]]:Table2[[#This Row],[P3]])</calculatedColumnFormula>
    </tableColumn>
    <tableColumn id="8" xr3:uid="{2974D60E-6187-4B53-9C0A-D6CCD473C533}" name="avg_P123" dataDxfId="24">
      <calculatedColumnFormula>AVERAGE(Table2[[#This Row],[P1]],Table2[[#This Row],[P2]],Table2[[#This Row],[P3]])</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662D342-6AE4-495B-93A1-01C56177B1D4}" name="Table17" displayName="Table17" ref="B135:G146" totalsRowShown="0">
  <autoFilter ref="B135:G146" xr:uid="{9662D342-6AE4-495B-93A1-01C56177B1D4}"/>
  <tableColumns count="6">
    <tableColumn id="1" xr3:uid="{2C7EA611-DDF5-47CA-BC8F-318CF162DEFE}" name="short_group_name"/>
    <tableColumn id="2" xr3:uid="{AC2C6434-D758-408E-BD28-0BFC9678EAA0}" name="Group"/>
    <tableColumn id="3" xr3:uid="{25C6EAE5-3273-4462-BB48-A02E312A4DF8}" name="P1_gender"/>
    <tableColumn id="4" xr3:uid="{D47A26C1-FEA3-4261-9C5D-82B89E11D1FA}" name="P1"/>
    <tableColumn id="5" xr3:uid="{3712710B-57D8-448D-A7A8-AD3DA55695B3}" name="P2_gender"/>
    <tableColumn id="6" xr3:uid="{13FAB786-3C48-4E76-ABB2-BA1F446F3140}" name="P2"/>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6BB00D6-4E8F-43D5-B2C8-30587CF65EDD}" name="Table18" displayName="Table18" ref="K135:R149" totalsRowShown="0" dataDxfId="23">
  <autoFilter ref="K135:R149" xr:uid="{36BB00D6-4E8F-43D5-B2C8-30587CF65EDD}"/>
  <tableColumns count="8">
    <tableColumn id="1" xr3:uid="{B561AF8A-A679-4EE7-9AD8-A252E27AD6DE}" name="group_name_short"/>
    <tableColumn id="2" xr3:uid="{3964AECF-0546-4935-88E8-78044B9787C9}" name="Group" dataDxfId="22"/>
    <tableColumn id="3" xr3:uid="{23607895-900C-4358-A84D-9A0B49943197}" name="P1_gender" dataDxfId="21"/>
    <tableColumn id="4" xr3:uid="{AD0DA697-B1F9-4314-AF88-ECCE06589085}" name="P1" dataDxfId="20"/>
    <tableColumn id="5" xr3:uid="{8532E42C-2EBB-4FA2-ABF1-E0C966F8EB80}" name="P2_gender" dataDxfId="19"/>
    <tableColumn id="6" xr3:uid="{9EEC63F9-8552-48A3-A4FC-CBD1F24A0800}" name="P2" dataDxfId="18"/>
    <tableColumn id="7" xr3:uid="{05C50DDE-E161-47EB-9CEB-160AC592895B}" name="P3_gender" dataDxfId="17"/>
    <tableColumn id="8" xr3:uid="{2FE32403-7E04-46D4-8E2C-D057CA9AA5E6}" name="P3" dataDxfId="16"/>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9D2BFEB-9EBC-4409-8123-28BF7ED9F05D}" name="Table19" displayName="Table19" ref="B150:D172" totalsRowShown="0" tableBorderDxfId="15">
  <autoFilter ref="B150:D172" xr:uid="{59D2BFEB-9EBC-4409-8123-28BF7ED9F05D}"/>
  <sortState xmlns:xlrd2="http://schemas.microsoft.com/office/spreadsheetml/2017/richdata2" ref="B151:D172">
    <sortCondition ref="C150:C172"/>
  </sortState>
  <tableColumns count="3">
    <tableColumn id="1" xr3:uid="{2C10C56B-5C5A-4405-AB12-9FC7EF3667C6}" name="short_group_name" dataDxfId="14"/>
    <tableColumn id="2" xr3:uid="{C201F025-F75E-4FB3-9148-28A1DB5E99AB}" name="gender" dataDxfId="13"/>
    <tableColumn id="3" xr3:uid="{22E9C4A0-683B-4125-94F6-E3257F38D7D0}" name="BRM" dataDxfId="12"/>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C86123F-88D7-41B5-B44A-4D30383D92E0}" name="Table20" displayName="Table20" ref="K154:M196" totalsRowShown="0" tableBorderDxfId="11">
  <autoFilter ref="K154:M196" xr:uid="{CC86123F-88D7-41B5-B44A-4D30383D92E0}"/>
  <sortState xmlns:xlrd2="http://schemas.microsoft.com/office/spreadsheetml/2017/richdata2" ref="K155:M196">
    <sortCondition ref="L154:L196"/>
  </sortState>
  <tableColumns count="3">
    <tableColumn id="1" xr3:uid="{A19875F5-FDAB-4774-A356-9695FBF140A6}" name="group_name_short" dataDxfId="10"/>
    <tableColumn id="2" xr3:uid="{92E84300-25AF-43BF-8FDC-239C36342AAE}" name="gender" dataDxfId="9"/>
    <tableColumn id="3" xr3:uid="{F9D3D3DA-802C-4377-A3ED-C54D3FF4E4FF}" name="BRM" dataDxfId="8"/>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DE5A9D-30CA-46ED-97F0-1C4FEC122E36}" name="Table3" displayName="Table3" ref="I2:M13" totalsRowShown="0">
  <autoFilter ref="I2:M13" xr:uid="{2DDE5A9D-30CA-46ED-97F0-1C4FEC122E36}"/>
  <tableColumns count="5">
    <tableColumn id="1" xr3:uid="{3F2D9A49-CB8D-42DB-9308-C8C69690D536}" name="group_name"/>
    <tableColumn id="2" xr3:uid="{52DE6ABD-824B-4973-B79D-365B55975AD4}" name="group_size"/>
    <tableColumn id="3" xr3:uid="{F4EE57F7-134D-4B1D-A183-5A5DB8EC2A51}" name="count_blinks_participant_reference"/>
    <tableColumn id="4" xr3:uid="{13D1FF19-31EE-4C8B-8D48-6D9C1440961D}" name="count_sync_blinks"/>
    <tableColumn id="5" xr3:uid="{EBCD6D38-DA7A-4B32-A832-56FD5FE27505}" name="percent_sync_blink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85DFC2-8853-442F-82F5-FC50BCDA248D}" name="Table4" displayName="Table4" ref="P2:T16" totalsRowShown="0">
  <autoFilter ref="P2:T16" xr:uid="{9C85DFC2-8853-442F-82F5-FC50BCDA248D}"/>
  <tableColumns count="5">
    <tableColumn id="1" xr3:uid="{4EBA4596-D512-4014-8443-5406E0A17D40}" name="group_name"/>
    <tableColumn id="2" xr3:uid="{6BE7A398-823C-4857-870A-1AF477ADDFF4}" name="group_size"/>
    <tableColumn id="3" xr3:uid="{155A14E7-67CE-47D1-ABCB-DA40DBA3CD30}" name="count_blinks_participant_reference"/>
    <tableColumn id="4" xr3:uid="{7A67B0EE-5289-48DB-8223-9B55BE9C9BCB}" name="count_sync_blinks"/>
    <tableColumn id="5" xr3:uid="{7D7D6422-F269-4D6B-ACA7-3BF34AF789DD}" name="percent_sync_blink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25D1AD-2854-40AA-8354-72C5021373BA}" name="Table5" displayName="Table5" ref="G1:J12" totalsRowShown="0">
  <autoFilter ref="G1:J12" xr:uid="{8C25D1AD-2854-40AA-8354-72C5021373BA}"/>
  <tableColumns count="4">
    <tableColumn id="1" xr3:uid="{6D40A87A-BB4C-4E8C-B2B2-45A314637EAB}" name="group_name"/>
    <tableColumn id="2" xr3:uid="{44B8A537-3D3D-4A32-A4E9-A479A2FBAEB8}" name="group_size"/>
    <tableColumn id="3" xr3:uid="{E56604FE-4744-4494-96E9-2E228A162AAB}" name="count_sync_blinks"/>
    <tableColumn id="4" xr3:uid="{23F049FC-98FA-4630-A819-6E88CF2BB14F}" name="avg_blinks_async_ms"/>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64CA2C-1F70-44B8-BBA9-1279DE17B6FA}" name="Table6" displayName="Table6" ref="N1:Q15" totalsRowShown="0">
  <autoFilter ref="N1:Q15" xr:uid="{F064CA2C-1F70-44B8-BBA9-1279DE17B6FA}"/>
  <tableColumns count="4">
    <tableColumn id="1" xr3:uid="{5590ACE3-601B-4874-B2FD-40E7CE33D13C}" name="group_name"/>
    <tableColumn id="2" xr3:uid="{DBD04632-1B48-46B6-8176-FBFC5676F488}" name="group_size"/>
    <tableColumn id="3" xr3:uid="{E2EF6420-C922-43B5-A67E-B09B3D8CAC04}" name="count_sync_blinks"/>
    <tableColumn id="4" xr3:uid="{C1FE3794-32D2-4348-A14B-DA8E4EC94C43}" name="avg_blinks_async_ms"/>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D36C7E-4AD2-425A-BAE4-7F65D68961B3}" name="Table9" displayName="Table9" ref="B2:N13" totalsRowShown="0">
  <autoFilter ref="B2:N13" xr:uid="{87D36C7E-4AD2-425A-BAE4-7F65D68961B3}"/>
  <tableColumns count="13">
    <tableColumn id="1" xr3:uid="{9BC1567B-64A2-4977-B462-E55CD1930503}" name="group index"/>
    <tableColumn id="2" xr3:uid="{22340563-374A-41E8-9D56-C75D1890ED3F}" name="-1500"/>
    <tableColumn id="3" xr3:uid="{1FF8687A-8105-4FD8-BEA2-D5AB4CC51840}" name="-1250"/>
    <tableColumn id="4" xr3:uid="{351898DC-892A-48D0-BC44-899BCD29B003}" name="-1000"/>
    <tableColumn id="5" xr3:uid="{10ABA271-061E-4E25-93AA-23D298B61FA2}" name="-750"/>
    <tableColumn id="6" xr3:uid="{A8A1DE2D-6ACD-4369-A468-5E4751A4E065}" name="-500"/>
    <tableColumn id="7" xr3:uid="{1D598D59-4409-4DA8-B18C-34B02FFF856B}" name="-250"/>
    <tableColumn id="8" xr3:uid="{D541AF2B-E7C2-471F-AFF0-AD9BCA3B328A}" name="0"/>
    <tableColumn id="9" xr3:uid="{F633A798-9031-42A6-9031-A0988867361C}" name="250"/>
    <tableColumn id="10" xr3:uid="{321CCB05-D4C5-4E13-B6C6-D0D29029B8CA}" name="500"/>
    <tableColumn id="11" xr3:uid="{64A44B7D-08D9-4B98-9EF3-E5A3A28326A0}" name="750"/>
    <tableColumn id="12" xr3:uid="{485F7809-F3B6-4A67-8541-C8D4A372FC10}" name="1000"/>
    <tableColumn id="13" xr3:uid="{8F82B826-F05C-4ED9-AB02-311044D91A11}" name="1250"/>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E4F5CA-2757-4BB8-B7D4-6FAD0F9D3313}" name="Table10" displayName="Table10" ref="S2:AE16" totalsRowShown="0">
  <autoFilter ref="S2:AE16" xr:uid="{2FE4F5CA-2757-4BB8-B7D4-6FAD0F9D3313}"/>
  <tableColumns count="13">
    <tableColumn id="1" xr3:uid="{DEA6FCC7-BF9E-4FEB-B8A5-D9E6A5517133}" name="group index"/>
    <tableColumn id="2" xr3:uid="{632DC515-0519-414F-A1C2-C853449A32E0}" name="-1500"/>
    <tableColumn id="3" xr3:uid="{8BCBFBF5-FF98-4388-8807-BC146D08D2C1}" name="-1250"/>
    <tableColumn id="4" xr3:uid="{4E190D4A-730F-4C1B-99FF-D5241117D033}" name="-1000"/>
    <tableColumn id="5" xr3:uid="{5CF371C6-8DC5-4706-BE60-B59C28D31B42}" name="-750"/>
    <tableColumn id="6" xr3:uid="{EFBE3631-3B45-42D1-8CD8-AA3CDB41B386}" name="-500"/>
    <tableColumn id="7" xr3:uid="{EBFF8898-C8B3-4E0E-88CE-40CCE1B15988}" name="-250"/>
    <tableColumn id="8" xr3:uid="{05776A3F-6E19-4C51-AFF0-51B3458E3386}" name="0"/>
    <tableColumn id="9" xr3:uid="{BBC8213E-0385-4536-B3E0-2FF9553EC9B6}" name="250"/>
    <tableColumn id="10" xr3:uid="{B7A10808-D241-4C11-9D43-95A5BD97D1A6}" name="500"/>
    <tableColumn id="11" xr3:uid="{5D447120-5A07-4995-A101-3BA1AE0EFCC3}" name="750"/>
    <tableColumn id="12" xr3:uid="{FE0986B1-E48A-47D6-B65E-6951FED52299}" name="1000"/>
    <tableColumn id="13" xr3:uid="{20789145-8352-44A2-9E65-DB62E6D4F65F}" name="1250"/>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3128D6-0977-4CDB-9564-6576F6CC0F00}" name="Table12" displayName="Table12" ref="B3:G9" totalsRowShown="0" headerRowDxfId="7" dataDxfId="6">
  <autoFilter ref="B3:G9" xr:uid="{AE3128D6-0977-4CDB-9564-6576F6CC0F00}"/>
  <tableColumns count="6">
    <tableColumn id="7" xr3:uid="{9ADAD039-B1E9-4CE9-A97A-F011BE916F7E}" name="Studies" dataDxfId="5"/>
    <tableColumn id="1" xr3:uid="{82438DF6-BD05-4592-A8DD-7774EC290540}" name="Blink Duration" dataDxfId="4"/>
    <tableColumn id="2" xr3:uid="{73A7EFA3-1D5A-46CB-8FDD-FC9B98AFF790}" name="Blink Rate" dataDxfId="3"/>
    <tableColumn id="3" xr3:uid="{870B7377-D9C2-43BC-BF44-555251957991}" name="% synced blinks" dataDxfId="2"/>
    <tableColumn id="4" xr3:uid="{2CBBC7E0-C34D-4EDC-BAF8-1044465DAD77}" name="Mean Asynced blinks time" dataDxfId="1"/>
    <tableColumn id="5" xr3:uid="{0FE01176-586C-4503-854F-0ADC1D5FE9ED}" name="Asynced blinks tempor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rinterSettings" Target="../printerSettings/printerSettings2.bin"/><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drawing" Target="../drawings/drawing1.xml"/><Relationship Id="rId9"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printerSettings" Target="../printerSettings/printerSettings3.bin"/><Relationship Id="rId7" Type="http://schemas.openxmlformats.org/officeDocument/2006/relationships/table" Target="../tables/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drawing" Target="../drawings/drawing2.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workbookViewId="0">
      <selection activeCell="C43" sqref="C43"/>
    </sheetView>
  </sheetViews>
  <sheetFormatPr defaultRowHeight="15"/>
  <cols>
    <col min="1" max="1" width="54.5703125" customWidth="1"/>
    <col min="2" max="2" width="27.140625" customWidth="1"/>
    <col min="3" max="3" width="27.5703125" customWidth="1"/>
    <col min="4" max="4" width="10.85546875" customWidth="1"/>
    <col min="5" max="5" width="11.5703125" customWidth="1"/>
  </cols>
  <sheetData>
    <row r="1" spans="1:7">
      <c r="A1" t="s">
        <v>0</v>
      </c>
      <c r="B1" t="s">
        <v>1</v>
      </c>
      <c r="C1" s="1" t="s">
        <v>2</v>
      </c>
      <c r="D1" t="s">
        <v>78</v>
      </c>
      <c r="E1" t="s">
        <v>52</v>
      </c>
      <c r="F1" t="s">
        <v>53</v>
      </c>
      <c r="G1" t="s">
        <v>3</v>
      </c>
    </row>
    <row r="2" spans="1:7">
      <c r="A2" t="s">
        <v>65</v>
      </c>
      <c r="B2" s="1" t="s">
        <v>4</v>
      </c>
      <c r="C2" s="1" t="s">
        <v>5</v>
      </c>
      <c r="D2">
        <v>1</v>
      </c>
      <c r="E2">
        <v>0</v>
      </c>
      <c r="G2" t="s">
        <v>6</v>
      </c>
    </row>
    <row r="3" spans="1:7">
      <c r="A3" t="s">
        <v>64</v>
      </c>
      <c r="B3" s="1" t="s">
        <v>7</v>
      </c>
      <c r="C3" s="1" t="s">
        <v>8</v>
      </c>
      <c r="D3">
        <v>1</v>
      </c>
      <c r="E3">
        <v>0</v>
      </c>
      <c r="G3" t="s">
        <v>9</v>
      </c>
    </row>
    <row r="4" spans="1:7">
      <c r="A4" t="s">
        <v>62</v>
      </c>
      <c r="B4" s="1" t="s">
        <v>10</v>
      </c>
      <c r="C4" s="1" t="s">
        <v>11</v>
      </c>
      <c r="D4">
        <v>1</v>
      </c>
      <c r="E4">
        <v>1</v>
      </c>
    </row>
    <row r="5" spans="1:7">
      <c r="A5" t="s">
        <v>61</v>
      </c>
      <c r="B5" s="1" t="s">
        <v>12</v>
      </c>
      <c r="C5" s="1" t="s">
        <v>13</v>
      </c>
      <c r="D5">
        <v>1</v>
      </c>
      <c r="E5">
        <v>1</v>
      </c>
      <c r="G5" t="s">
        <v>14</v>
      </c>
    </row>
    <row r="6" spans="1:7">
      <c r="A6" t="s">
        <v>60</v>
      </c>
      <c r="B6" s="1" t="s">
        <v>15</v>
      </c>
      <c r="C6" s="1" t="s">
        <v>11</v>
      </c>
      <c r="D6">
        <v>0</v>
      </c>
      <c r="E6">
        <v>0</v>
      </c>
      <c r="F6" t="s">
        <v>140</v>
      </c>
      <c r="G6" t="s">
        <v>16</v>
      </c>
    </row>
    <row r="7" spans="1:7">
      <c r="A7" t="s">
        <v>59</v>
      </c>
      <c r="B7" s="1" t="s">
        <v>17</v>
      </c>
      <c r="C7" s="1" t="s">
        <v>18</v>
      </c>
      <c r="D7">
        <v>1</v>
      </c>
      <c r="E7">
        <v>1</v>
      </c>
    </row>
    <row r="8" spans="1:7">
      <c r="A8" t="s">
        <v>58</v>
      </c>
      <c r="B8" s="1" t="s">
        <v>19</v>
      </c>
      <c r="C8" s="1" t="s">
        <v>20</v>
      </c>
      <c r="D8">
        <v>1</v>
      </c>
      <c r="E8">
        <v>1</v>
      </c>
      <c r="G8" t="s">
        <v>21</v>
      </c>
    </row>
    <row r="9" spans="1:7">
      <c r="A9" t="s">
        <v>57</v>
      </c>
      <c r="B9" s="1" t="s">
        <v>22</v>
      </c>
      <c r="C9" s="1" t="s">
        <v>23</v>
      </c>
      <c r="D9">
        <v>1</v>
      </c>
      <c r="E9">
        <v>1</v>
      </c>
    </row>
    <row r="10" spans="1:7">
      <c r="A10" t="s">
        <v>56</v>
      </c>
      <c r="B10" s="1" t="s">
        <v>24</v>
      </c>
      <c r="C10" s="1" t="s">
        <v>79</v>
      </c>
      <c r="D10">
        <v>1</v>
      </c>
      <c r="E10">
        <v>0</v>
      </c>
      <c r="G10" t="s">
        <v>25</v>
      </c>
    </row>
    <row r="11" spans="1:7">
      <c r="A11" t="s">
        <v>55</v>
      </c>
      <c r="B11" s="1" t="s">
        <v>80</v>
      </c>
      <c r="C11" s="1" t="s">
        <v>81</v>
      </c>
      <c r="D11">
        <v>1</v>
      </c>
      <c r="E11">
        <v>0</v>
      </c>
      <c r="G11" t="s">
        <v>26</v>
      </c>
    </row>
    <row r="12" spans="1:7">
      <c r="A12" t="s">
        <v>54</v>
      </c>
      <c r="B12" s="1" t="s">
        <v>27</v>
      </c>
      <c r="C12" s="1" t="s">
        <v>82</v>
      </c>
      <c r="D12">
        <v>1</v>
      </c>
      <c r="E12">
        <v>0</v>
      </c>
      <c r="G12" t="s">
        <v>28</v>
      </c>
    </row>
    <row r="13" spans="1:7">
      <c r="A13" t="s">
        <v>66</v>
      </c>
      <c r="B13" s="1" t="s">
        <v>29</v>
      </c>
      <c r="C13" s="1" t="s">
        <v>30</v>
      </c>
      <c r="D13">
        <v>1</v>
      </c>
      <c r="E13">
        <v>1</v>
      </c>
      <c r="G13" t="s">
        <v>31</v>
      </c>
    </row>
    <row r="14" spans="1:7">
      <c r="A14" s="6" t="s">
        <v>68</v>
      </c>
      <c r="B14" s="1" t="s">
        <v>32</v>
      </c>
      <c r="C14" s="1" t="s">
        <v>33</v>
      </c>
      <c r="D14">
        <v>1</v>
      </c>
      <c r="E14">
        <v>0</v>
      </c>
      <c r="F14" t="s">
        <v>141</v>
      </c>
      <c r="G14" t="s">
        <v>34</v>
      </c>
    </row>
    <row r="15" spans="1:7">
      <c r="A15" s="6" t="s">
        <v>69</v>
      </c>
      <c r="B15" s="1" t="s">
        <v>35</v>
      </c>
      <c r="C15" s="1" t="s">
        <v>36</v>
      </c>
      <c r="D15">
        <v>1</v>
      </c>
      <c r="E15">
        <v>1</v>
      </c>
      <c r="F15" t="s">
        <v>141</v>
      </c>
      <c r="G15" t="s">
        <v>37</v>
      </c>
    </row>
    <row r="16" spans="1:7">
      <c r="A16" t="s">
        <v>70</v>
      </c>
      <c r="B16" s="1" t="s">
        <v>38</v>
      </c>
      <c r="C16" s="1" t="s">
        <v>39</v>
      </c>
      <c r="D16">
        <v>1</v>
      </c>
      <c r="E16">
        <v>1</v>
      </c>
      <c r="G16" t="s">
        <v>40</v>
      </c>
    </row>
    <row r="17" spans="1:7">
      <c r="A17" t="s">
        <v>71</v>
      </c>
      <c r="B17" s="1" t="s">
        <v>41</v>
      </c>
      <c r="C17" s="1" t="s">
        <v>42</v>
      </c>
      <c r="D17">
        <v>1</v>
      </c>
      <c r="E17">
        <v>1</v>
      </c>
    </row>
    <row r="18" spans="1:7">
      <c r="A18" t="s">
        <v>72</v>
      </c>
      <c r="B18" s="1" t="s">
        <v>43</v>
      </c>
      <c r="C18" s="1" t="s">
        <v>44</v>
      </c>
      <c r="D18">
        <v>0</v>
      </c>
      <c r="E18">
        <v>0</v>
      </c>
      <c r="G18" t="s">
        <v>45</v>
      </c>
    </row>
    <row r="19" spans="1:7">
      <c r="A19" t="s">
        <v>73</v>
      </c>
      <c r="B19" s="1" t="s">
        <v>46</v>
      </c>
      <c r="C19" s="1" t="s">
        <v>83</v>
      </c>
      <c r="D19">
        <v>1</v>
      </c>
      <c r="E19">
        <v>1</v>
      </c>
    </row>
    <row r="20" spans="1:7">
      <c r="A20" t="s">
        <v>74</v>
      </c>
      <c r="B20" s="1" t="s">
        <v>84</v>
      </c>
      <c r="C20" s="1" t="s">
        <v>85</v>
      </c>
      <c r="D20">
        <v>1</v>
      </c>
      <c r="E20">
        <v>1</v>
      </c>
      <c r="G20" t="s">
        <v>86</v>
      </c>
    </row>
    <row r="21" spans="1:7">
      <c r="A21" t="s">
        <v>75</v>
      </c>
      <c r="B21" s="1" t="s">
        <v>87</v>
      </c>
      <c r="C21" s="1" t="s">
        <v>47</v>
      </c>
      <c r="D21">
        <v>1</v>
      </c>
      <c r="E21">
        <v>1</v>
      </c>
      <c r="G21" t="s">
        <v>48</v>
      </c>
    </row>
    <row r="22" spans="1:7">
      <c r="A22" t="s">
        <v>49</v>
      </c>
      <c r="B22" s="1" t="s">
        <v>51</v>
      </c>
      <c r="C22" s="1" t="s">
        <v>50</v>
      </c>
      <c r="D22">
        <v>1</v>
      </c>
      <c r="E22">
        <v>0</v>
      </c>
    </row>
    <row r="25" spans="1:7">
      <c r="A25" t="s">
        <v>63</v>
      </c>
      <c r="B25" s="1"/>
      <c r="C25" s="1"/>
      <c r="F25" t="s">
        <v>76</v>
      </c>
      <c r="G25" t="s">
        <v>77</v>
      </c>
    </row>
    <row r="26" spans="1:7">
      <c r="A26" t="s">
        <v>67</v>
      </c>
      <c r="B26" s="1"/>
      <c r="C26" s="1"/>
      <c r="F26" t="s">
        <v>76</v>
      </c>
      <c r="G26" t="s">
        <v>77</v>
      </c>
    </row>
    <row r="32" spans="1:7">
      <c r="A32" t="s">
        <v>154</v>
      </c>
      <c r="B32" t="s">
        <v>143</v>
      </c>
      <c r="C32" t="s">
        <v>144</v>
      </c>
    </row>
    <row r="33" spans="1:6">
      <c r="A33" t="s">
        <v>155</v>
      </c>
      <c r="B33" s="12" t="s">
        <v>142</v>
      </c>
      <c r="C33" t="s">
        <v>145</v>
      </c>
    </row>
    <row r="36" spans="1:6">
      <c r="A36" t="s">
        <v>156</v>
      </c>
      <c r="B36" t="s">
        <v>146</v>
      </c>
      <c r="C36" t="s">
        <v>147</v>
      </c>
    </row>
    <row r="37" spans="1:6">
      <c r="A37" t="s">
        <v>157</v>
      </c>
      <c r="B37" t="s">
        <v>149</v>
      </c>
      <c r="C37" t="s">
        <v>148</v>
      </c>
      <c r="F37" s="6"/>
    </row>
    <row r="38" spans="1:6">
      <c r="A38" t="s">
        <v>158</v>
      </c>
      <c r="B38" t="s">
        <v>150</v>
      </c>
      <c r="C38" t="s">
        <v>151</v>
      </c>
    </row>
    <row r="39" spans="1:6">
      <c r="A39" t="s">
        <v>159</v>
      </c>
      <c r="B39" t="s">
        <v>152</v>
      </c>
      <c r="C39" t="s">
        <v>153</v>
      </c>
    </row>
    <row r="42" spans="1:6">
      <c r="B42" t="s">
        <v>224</v>
      </c>
      <c r="C42" t="s">
        <v>225</v>
      </c>
    </row>
    <row r="43" spans="1:6">
      <c r="B43" t="s">
        <v>226</v>
      </c>
      <c r="C43" t="s">
        <v>228</v>
      </c>
    </row>
    <row r="44" spans="1:6">
      <c r="B44" t="s">
        <v>227</v>
      </c>
      <c r="C44" t="s">
        <v>229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3795-97EB-4298-A25F-860B0A0E50BA}">
  <dimension ref="A1:W117"/>
  <sheetViews>
    <sheetView topLeftCell="G39" workbookViewId="0">
      <selection activeCell="Q59" sqref="Q59"/>
    </sheetView>
  </sheetViews>
  <sheetFormatPr defaultRowHeight="15"/>
  <cols>
    <col min="1" max="1" width="19.85546875" customWidth="1"/>
    <col min="2" max="2" width="10" customWidth="1"/>
    <col min="3" max="3" width="19" customWidth="1"/>
    <col min="4" max="4" width="12.42578125" customWidth="1"/>
    <col min="5" max="5" width="13.140625" bestFit="1" customWidth="1"/>
    <col min="6" max="6" width="13.42578125" customWidth="1"/>
    <col min="9" max="9" width="53.42578125" customWidth="1"/>
    <col min="10" max="10" width="11.85546875" customWidth="1"/>
    <col min="11" max="11" width="14.28515625" customWidth="1"/>
    <col min="12" max="12" width="19.85546875" customWidth="1"/>
    <col min="13" max="13" width="13.85546875" customWidth="1"/>
    <col min="14" max="14" width="25.7109375" customWidth="1"/>
    <col min="15" max="15" width="14.85546875" customWidth="1"/>
    <col min="16" max="16" width="13.140625" bestFit="1" customWidth="1"/>
    <col min="17" max="17" width="15.85546875" customWidth="1"/>
    <col min="18" max="18" width="12.85546875" customWidth="1"/>
    <col min="19" max="19" width="13.85546875" customWidth="1"/>
    <col min="27" max="27" width="13.140625" bestFit="1" customWidth="1"/>
    <col min="28" max="28" width="37.5703125" bestFit="1" customWidth="1"/>
    <col min="29" max="30" width="34.140625" bestFit="1" customWidth="1"/>
  </cols>
  <sheetData>
    <row r="1" spans="1:14">
      <c r="A1" t="s">
        <v>235</v>
      </c>
      <c r="B1" t="s">
        <v>163</v>
      </c>
      <c r="C1" t="s">
        <v>165</v>
      </c>
      <c r="D1" t="s">
        <v>166</v>
      </c>
      <c r="E1" t="s">
        <v>167</v>
      </c>
      <c r="F1" t="s">
        <v>168</v>
      </c>
      <c r="H1" t="s">
        <v>235</v>
      </c>
      <c r="I1" t="s">
        <v>163</v>
      </c>
      <c r="J1" t="s">
        <v>165</v>
      </c>
      <c r="K1" t="s">
        <v>166</v>
      </c>
      <c r="L1" t="s">
        <v>167</v>
      </c>
      <c r="M1" t="s">
        <v>164</v>
      </c>
      <c r="N1" t="s">
        <v>168</v>
      </c>
    </row>
    <row r="2" spans="1:14">
      <c r="A2" t="s">
        <v>236</v>
      </c>
      <c r="B2" t="s">
        <v>65</v>
      </c>
      <c r="C2">
        <v>2</v>
      </c>
      <c r="D2">
        <v>155.283019</v>
      </c>
      <c r="E2">
        <v>175.88665</v>
      </c>
      <c r="F2">
        <v>165.584834</v>
      </c>
      <c r="H2" t="s">
        <v>247</v>
      </c>
      <c r="I2" t="s">
        <v>66</v>
      </c>
      <c r="J2">
        <v>3</v>
      </c>
      <c r="K2">
        <v>192.61988299999999</v>
      </c>
      <c r="L2">
        <v>153.51952</v>
      </c>
      <c r="M2">
        <v>166.052301</v>
      </c>
      <c r="N2">
        <v>170.73056800000001</v>
      </c>
    </row>
    <row r="3" spans="1:14">
      <c r="A3" t="s">
        <v>237</v>
      </c>
      <c r="B3" t="s">
        <v>64</v>
      </c>
      <c r="C3">
        <v>2</v>
      </c>
      <c r="D3">
        <v>218.36752100000001</v>
      </c>
      <c r="E3">
        <v>259.644836</v>
      </c>
      <c r="F3">
        <v>239.006179</v>
      </c>
      <c r="H3" t="s">
        <v>249</v>
      </c>
      <c r="I3" t="s">
        <v>68</v>
      </c>
      <c r="J3">
        <v>3</v>
      </c>
      <c r="K3">
        <v>140.052885</v>
      </c>
      <c r="L3">
        <v>175.77197799999999</v>
      </c>
      <c r="M3">
        <v>235.84090900000001</v>
      </c>
      <c r="N3">
        <v>183.88859099999999</v>
      </c>
    </row>
    <row r="4" spans="1:14">
      <c r="A4" t="s">
        <v>238</v>
      </c>
      <c r="B4" t="s">
        <v>62</v>
      </c>
      <c r="C4">
        <v>2</v>
      </c>
      <c r="D4">
        <v>204.75380699999999</v>
      </c>
      <c r="E4">
        <v>162.682692</v>
      </c>
      <c r="F4">
        <v>183.71825000000001</v>
      </c>
      <c r="H4" t="s">
        <v>250</v>
      </c>
      <c r="I4" t="s">
        <v>69</v>
      </c>
      <c r="J4">
        <v>3</v>
      </c>
      <c r="K4">
        <v>125.67857100000001</v>
      </c>
      <c r="L4">
        <v>171.88356200000001</v>
      </c>
      <c r="M4">
        <v>172.36824300000001</v>
      </c>
      <c r="N4">
        <v>156.64345900000001</v>
      </c>
    </row>
    <row r="5" spans="1:14">
      <c r="A5" t="s">
        <v>239</v>
      </c>
      <c r="B5" t="s">
        <v>61</v>
      </c>
      <c r="C5">
        <v>2</v>
      </c>
      <c r="D5">
        <v>155.45097999999999</v>
      </c>
      <c r="E5">
        <v>176.07033000000001</v>
      </c>
      <c r="F5">
        <v>165.76065500000001</v>
      </c>
      <c r="H5" t="s">
        <v>251</v>
      </c>
      <c r="I5" t="s">
        <v>70</v>
      </c>
      <c r="J5">
        <v>3</v>
      </c>
      <c r="K5">
        <v>197.77333300000001</v>
      </c>
      <c r="L5">
        <v>165.45217400000001</v>
      </c>
      <c r="M5">
        <v>156.27201099999999</v>
      </c>
      <c r="N5">
        <v>173.16583900000001</v>
      </c>
    </row>
    <row r="6" spans="1:14">
      <c r="A6" t="s">
        <v>240</v>
      </c>
      <c r="B6" t="s">
        <v>59</v>
      </c>
      <c r="C6">
        <v>2</v>
      </c>
      <c r="D6">
        <v>241.208955</v>
      </c>
      <c r="E6">
        <v>190.61299399999999</v>
      </c>
      <c r="F6">
        <v>215.91097500000001</v>
      </c>
      <c r="H6" t="s">
        <v>252</v>
      </c>
      <c r="I6" t="s">
        <v>71</v>
      </c>
      <c r="J6">
        <v>3</v>
      </c>
      <c r="K6">
        <v>148.419355</v>
      </c>
      <c r="L6">
        <v>213.963964</v>
      </c>
      <c r="M6">
        <v>182.36454800000001</v>
      </c>
      <c r="N6">
        <v>181.58262199999999</v>
      </c>
    </row>
    <row r="7" spans="1:14">
      <c r="A7" t="s">
        <v>241</v>
      </c>
      <c r="B7" t="s">
        <v>58</v>
      </c>
      <c r="C7">
        <v>2</v>
      </c>
      <c r="D7">
        <v>210.85906</v>
      </c>
      <c r="E7">
        <v>185.06127499999999</v>
      </c>
      <c r="F7">
        <v>197.96016700000001</v>
      </c>
      <c r="H7" t="s">
        <v>253</v>
      </c>
      <c r="I7" t="s">
        <v>73</v>
      </c>
      <c r="J7">
        <v>3</v>
      </c>
      <c r="K7">
        <v>133.942857</v>
      </c>
      <c r="L7">
        <v>253.12820500000001</v>
      </c>
      <c r="M7">
        <v>166.39393899999999</v>
      </c>
      <c r="N7">
        <v>184.48833400000001</v>
      </c>
    </row>
    <row r="8" spans="1:14">
      <c r="A8" t="s">
        <v>242</v>
      </c>
      <c r="B8" t="s">
        <v>57</v>
      </c>
      <c r="C8">
        <v>2</v>
      </c>
      <c r="D8">
        <v>193.80620200000001</v>
      </c>
      <c r="E8">
        <v>155.07327599999999</v>
      </c>
      <c r="F8">
        <v>174.439739</v>
      </c>
      <c r="H8" t="s">
        <v>254</v>
      </c>
      <c r="I8" t="s">
        <v>74</v>
      </c>
      <c r="J8">
        <v>3</v>
      </c>
      <c r="K8">
        <v>206.78022000000001</v>
      </c>
      <c r="L8">
        <v>174.05384599999999</v>
      </c>
      <c r="M8">
        <v>162.85869600000001</v>
      </c>
      <c r="N8">
        <v>181.230921</v>
      </c>
    </row>
    <row r="9" spans="1:14">
      <c r="A9" t="s">
        <v>243</v>
      </c>
      <c r="B9" t="s">
        <v>56</v>
      </c>
      <c r="C9">
        <v>2</v>
      </c>
      <c r="D9">
        <v>158.79097400000001</v>
      </c>
      <c r="E9">
        <v>193.030303</v>
      </c>
      <c r="F9">
        <v>175.91063800000001</v>
      </c>
      <c r="H9" t="s">
        <v>255</v>
      </c>
      <c r="I9" t="s">
        <v>75</v>
      </c>
      <c r="J9">
        <v>3</v>
      </c>
      <c r="K9">
        <v>170.885965</v>
      </c>
      <c r="L9">
        <v>240.30364399999999</v>
      </c>
      <c r="M9">
        <v>178.34482800000001</v>
      </c>
      <c r="N9">
        <v>196.51147900000001</v>
      </c>
    </row>
    <row r="10" spans="1:14">
      <c r="A10" t="s">
        <v>244</v>
      </c>
      <c r="B10" t="s">
        <v>55</v>
      </c>
      <c r="C10">
        <v>2</v>
      </c>
      <c r="D10">
        <v>159.34567899999999</v>
      </c>
      <c r="E10">
        <v>186.157534</v>
      </c>
      <c r="F10">
        <v>172.75160700000001</v>
      </c>
      <c r="H10" t="s">
        <v>248</v>
      </c>
      <c r="I10" t="s">
        <v>49</v>
      </c>
      <c r="J10">
        <v>3</v>
      </c>
      <c r="K10">
        <v>190.14367799999999</v>
      </c>
      <c r="L10">
        <v>176.79674800000001</v>
      </c>
      <c r="M10">
        <v>193.95132699999999</v>
      </c>
      <c r="N10">
        <v>186.96391800000001</v>
      </c>
    </row>
    <row r="11" spans="1:14">
      <c r="A11" t="s">
        <v>245</v>
      </c>
      <c r="B11" t="s">
        <v>54</v>
      </c>
      <c r="C11">
        <v>2</v>
      </c>
      <c r="D11">
        <v>233.86496399999999</v>
      </c>
      <c r="E11">
        <v>190.47191000000001</v>
      </c>
      <c r="F11">
        <v>212.16843700000001</v>
      </c>
      <c r="H11" t="s">
        <v>257</v>
      </c>
      <c r="I11" t="s">
        <v>154</v>
      </c>
      <c r="J11">
        <v>3</v>
      </c>
      <c r="K11">
        <v>149.02941200000001</v>
      </c>
      <c r="L11">
        <v>165.265152</v>
      </c>
      <c r="M11">
        <v>226.71977999999999</v>
      </c>
      <c r="N11">
        <v>180.33811399999999</v>
      </c>
    </row>
    <row r="12" spans="1:14">
      <c r="A12" t="s">
        <v>246</v>
      </c>
      <c r="B12" t="s">
        <v>157</v>
      </c>
      <c r="C12">
        <v>2</v>
      </c>
      <c r="D12">
        <v>162.87719300000001</v>
      </c>
      <c r="E12">
        <v>201.66666699999999</v>
      </c>
      <c r="F12">
        <v>182.27193</v>
      </c>
      <c r="H12" t="s">
        <v>256</v>
      </c>
      <c r="I12" t="s">
        <v>155</v>
      </c>
      <c r="J12">
        <v>3</v>
      </c>
      <c r="K12">
        <v>179.045455</v>
      </c>
      <c r="L12">
        <v>181.13793100000001</v>
      </c>
      <c r="M12">
        <v>153.97183100000001</v>
      </c>
      <c r="N12">
        <v>171.38507200000001</v>
      </c>
    </row>
    <row r="13" spans="1:14">
      <c r="H13" t="s">
        <v>260</v>
      </c>
      <c r="I13" t="s">
        <v>156</v>
      </c>
      <c r="J13">
        <v>3</v>
      </c>
      <c r="K13">
        <v>155.252137</v>
      </c>
      <c r="L13">
        <v>194.52795</v>
      </c>
      <c r="M13">
        <v>173.75877199999999</v>
      </c>
      <c r="N13">
        <v>174.51295300000001</v>
      </c>
    </row>
    <row r="14" spans="1:14">
      <c r="H14" t="s">
        <v>258</v>
      </c>
      <c r="I14" t="s">
        <v>158</v>
      </c>
      <c r="J14">
        <v>3</v>
      </c>
      <c r="K14">
        <v>190.340136</v>
      </c>
      <c r="L14">
        <v>168.39919399999999</v>
      </c>
      <c r="M14">
        <v>227.647887</v>
      </c>
      <c r="N14">
        <v>195.46240599999999</v>
      </c>
    </row>
    <row r="15" spans="1:14">
      <c r="H15" t="s">
        <v>259</v>
      </c>
      <c r="I15" t="s">
        <v>159</v>
      </c>
      <c r="J15">
        <v>3</v>
      </c>
      <c r="K15">
        <v>150.79701499999999</v>
      </c>
      <c r="L15">
        <v>156.904977</v>
      </c>
      <c r="M15">
        <v>177.014218</v>
      </c>
      <c r="N15">
        <v>161.57207</v>
      </c>
    </row>
    <row r="16" spans="1:14">
      <c r="C16" t="s">
        <v>169</v>
      </c>
    </row>
    <row r="17" spans="3:12">
      <c r="C17" t="s">
        <v>170</v>
      </c>
      <c r="D17">
        <f>AVERAGE(Table7[group_mean_blink_duration_ms])</f>
        <v>189.58940100000001</v>
      </c>
    </row>
    <row r="18" spans="3:12">
      <c r="C18" t="s">
        <v>171</v>
      </c>
      <c r="D18">
        <f>_xlfn.STDEV.S(Table7[group_mean_blink_duration_ms])</f>
        <v>23.763211246075965</v>
      </c>
      <c r="K18" t="s">
        <v>173</v>
      </c>
    </row>
    <row r="19" spans="3:12">
      <c r="C19" t="s">
        <v>172</v>
      </c>
      <c r="D19" s="6">
        <v>7.1647999999999996</v>
      </c>
      <c r="K19" t="s">
        <v>170</v>
      </c>
      <c r="L19">
        <f>AVERAGE(Table8[group_mean_blink_duration_ms])</f>
        <v>178.46259614285717</v>
      </c>
    </row>
    <row r="20" spans="3:12">
      <c r="K20" t="s">
        <v>171</v>
      </c>
      <c r="L20">
        <f>_xlfn.STDEV.S(Table8[group_mean_blink_duration_ms])</f>
        <v>11.396998296852855</v>
      </c>
    </row>
    <row r="21" spans="3:12">
      <c r="K21" t="s">
        <v>172</v>
      </c>
      <c r="L21" s="6">
        <v>3.0449999999999999</v>
      </c>
    </row>
    <row r="26" spans="3:12">
      <c r="D26" t="s">
        <v>160</v>
      </c>
      <c r="J26" t="s">
        <v>174</v>
      </c>
    </row>
    <row r="27" spans="3:12" ht="15.75" thickBot="1"/>
    <row r="28" spans="3:12">
      <c r="D28" s="4"/>
      <c r="E28" s="4" t="s">
        <v>91</v>
      </c>
      <c r="F28" s="4" t="s">
        <v>139</v>
      </c>
      <c r="J28" s="4"/>
      <c r="K28" s="4" t="s">
        <v>91</v>
      </c>
      <c r="L28" s="4" t="s">
        <v>139</v>
      </c>
    </row>
    <row r="29" spans="3:12">
      <c r="D29" t="s">
        <v>99</v>
      </c>
      <c r="E29">
        <v>189.58940100000001</v>
      </c>
      <c r="F29">
        <v>178.46259614285717</v>
      </c>
      <c r="J29" t="s">
        <v>99</v>
      </c>
      <c r="K29">
        <v>189.58940100000001</v>
      </c>
      <c r="L29">
        <v>178.46259614285717</v>
      </c>
    </row>
    <row r="30" spans="3:12">
      <c r="D30" t="s">
        <v>100</v>
      </c>
      <c r="E30">
        <v>564.69020872563124</v>
      </c>
      <c r="F30">
        <v>129.89157017846688</v>
      </c>
      <c r="J30" t="s">
        <v>100</v>
      </c>
      <c r="K30">
        <v>564.69020872563124</v>
      </c>
      <c r="L30">
        <v>129.89157017846688</v>
      </c>
    </row>
    <row r="31" spans="3:12">
      <c r="D31" t="s">
        <v>101</v>
      </c>
      <c r="E31">
        <v>11</v>
      </c>
      <c r="F31">
        <v>14</v>
      </c>
      <c r="J31" t="s">
        <v>101</v>
      </c>
      <c r="K31">
        <v>11</v>
      </c>
      <c r="L31">
        <v>14</v>
      </c>
    </row>
    <row r="32" spans="3:12">
      <c r="D32" t="s">
        <v>103</v>
      </c>
      <c r="E32">
        <v>10</v>
      </c>
      <c r="F32">
        <v>13</v>
      </c>
      <c r="J32" t="s">
        <v>102</v>
      </c>
      <c r="K32">
        <v>0</v>
      </c>
    </row>
    <row r="33" spans="2:12">
      <c r="D33" t="s">
        <v>128</v>
      </c>
      <c r="E33">
        <v>4.3473968938073879</v>
      </c>
      <c r="J33" t="s">
        <v>103</v>
      </c>
      <c r="K33">
        <v>14</v>
      </c>
    </row>
    <row r="34" spans="2:12">
      <c r="D34" t="s">
        <v>161</v>
      </c>
      <c r="E34" s="11">
        <v>7.8207613269754717E-3</v>
      </c>
      <c r="J34" t="s">
        <v>104</v>
      </c>
      <c r="K34">
        <v>1.4291769235957907</v>
      </c>
    </row>
    <row r="35" spans="2:12" ht="15.75" thickBot="1">
      <c r="D35" s="3" t="s">
        <v>162</v>
      </c>
      <c r="E35" s="3">
        <v>2.671024228555126</v>
      </c>
      <c r="F35" s="3"/>
      <c r="J35" t="s">
        <v>105</v>
      </c>
      <c r="K35">
        <v>8.7443105302731736E-2</v>
      </c>
    </row>
    <row r="36" spans="2:12">
      <c r="J36" t="s">
        <v>106</v>
      </c>
      <c r="K36">
        <v>1.7613101357748921</v>
      </c>
    </row>
    <row r="37" spans="2:12">
      <c r="J37" t="s">
        <v>107</v>
      </c>
      <c r="K37">
        <v>0.17488621060546347</v>
      </c>
    </row>
    <row r="38" spans="2:12" ht="15.75" thickBot="1">
      <c r="J38" s="3" t="s">
        <v>108</v>
      </c>
      <c r="K38" s="3">
        <v>2.1447866879178044</v>
      </c>
      <c r="L38" s="3"/>
    </row>
    <row r="44" spans="2:12">
      <c r="B44">
        <v>189.58940100000001</v>
      </c>
    </row>
    <row r="51" spans="1:21">
      <c r="A51" s="23" t="s">
        <v>261</v>
      </c>
      <c r="O51" t="s">
        <v>265</v>
      </c>
      <c r="Q51" t="s">
        <v>266</v>
      </c>
      <c r="S51" t="s">
        <v>267</v>
      </c>
    </row>
    <row r="52" spans="1:21">
      <c r="L52" t="s">
        <v>235</v>
      </c>
      <c r="M52" t="s">
        <v>163</v>
      </c>
      <c r="N52" t="s">
        <v>165</v>
      </c>
      <c r="O52" t="s">
        <v>262</v>
      </c>
      <c r="P52" t="s">
        <v>166</v>
      </c>
      <c r="Q52" t="s">
        <v>263</v>
      </c>
      <c r="R52" t="s">
        <v>167</v>
      </c>
      <c r="S52" t="s">
        <v>264</v>
      </c>
      <c r="T52" t="s">
        <v>164</v>
      </c>
      <c r="U52" t="s">
        <v>168</v>
      </c>
    </row>
    <row r="53" spans="1:21">
      <c r="A53" t="s">
        <v>235</v>
      </c>
      <c r="B53" t="s">
        <v>163</v>
      </c>
      <c r="C53" t="s">
        <v>165</v>
      </c>
      <c r="D53" t="s">
        <v>262</v>
      </c>
      <c r="E53" t="s">
        <v>166</v>
      </c>
      <c r="F53" t="s">
        <v>263</v>
      </c>
      <c r="G53" t="s">
        <v>167</v>
      </c>
      <c r="H53" t="s">
        <v>168</v>
      </c>
      <c r="L53" t="s">
        <v>247</v>
      </c>
      <c r="M53" t="s">
        <v>66</v>
      </c>
      <c r="N53">
        <v>3</v>
      </c>
      <c r="O53" t="s">
        <v>128</v>
      </c>
      <c r="P53">
        <v>192.61988299999999</v>
      </c>
      <c r="Q53" t="s">
        <v>170</v>
      </c>
      <c r="R53">
        <v>153.51952</v>
      </c>
      <c r="S53" t="s">
        <v>128</v>
      </c>
      <c r="T53">
        <v>166.052301</v>
      </c>
      <c r="U53">
        <v>170.73056800000001</v>
      </c>
    </row>
    <row r="54" spans="1:21">
      <c r="A54" t="s">
        <v>236</v>
      </c>
      <c r="B54" t="s">
        <v>65</v>
      </c>
      <c r="C54">
        <v>2</v>
      </c>
      <c r="D54" t="s">
        <v>128</v>
      </c>
      <c r="E54">
        <v>155.283019</v>
      </c>
      <c r="F54" t="s">
        <v>128</v>
      </c>
      <c r="G54">
        <v>175.88665</v>
      </c>
      <c r="H54">
        <v>165.584834</v>
      </c>
      <c r="L54" t="s">
        <v>249</v>
      </c>
      <c r="M54" t="s">
        <v>68</v>
      </c>
      <c r="N54">
        <v>3</v>
      </c>
      <c r="O54" t="s">
        <v>128</v>
      </c>
      <c r="P54">
        <v>140.052885</v>
      </c>
      <c r="Q54" t="s">
        <v>128</v>
      </c>
      <c r="R54">
        <v>175.77197799999999</v>
      </c>
      <c r="S54" t="s">
        <v>128</v>
      </c>
      <c r="T54">
        <v>235.84090900000001</v>
      </c>
      <c r="U54">
        <v>183.88859099999999</v>
      </c>
    </row>
    <row r="55" spans="1:21">
      <c r="A55" t="s">
        <v>237</v>
      </c>
      <c r="B55" t="s">
        <v>64</v>
      </c>
      <c r="C55">
        <v>2</v>
      </c>
      <c r="D55" t="s">
        <v>170</v>
      </c>
      <c r="E55">
        <v>218.36752100000001</v>
      </c>
      <c r="F55" t="s">
        <v>128</v>
      </c>
      <c r="G55">
        <v>259.644836</v>
      </c>
      <c r="H55">
        <v>239.006179</v>
      </c>
      <c r="L55" t="s">
        <v>250</v>
      </c>
      <c r="M55" t="s">
        <v>69</v>
      </c>
      <c r="N55">
        <v>3</v>
      </c>
      <c r="O55" t="s">
        <v>128</v>
      </c>
      <c r="P55">
        <v>125.67857100000001</v>
      </c>
      <c r="Q55" t="s">
        <v>170</v>
      </c>
      <c r="R55">
        <v>171.88356200000001</v>
      </c>
      <c r="S55" t="s">
        <v>128</v>
      </c>
      <c r="T55">
        <v>172.36824300000001</v>
      </c>
      <c r="U55">
        <v>156.64345900000001</v>
      </c>
    </row>
    <row r="56" spans="1:21">
      <c r="A56" t="s">
        <v>238</v>
      </c>
      <c r="B56" t="s">
        <v>62</v>
      </c>
      <c r="C56">
        <v>2</v>
      </c>
      <c r="D56" t="s">
        <v>128</v>
      </c>
      <c r="E56">
        <v>204.75380699999999</v>
      </c>
      <c r="F56" t="s">
        <v>128</v>
      </c>
      <c r="G56">
        <v>162.682692</v>
      </c>
      <c r="H56">
        <v>183.71825000000001</v>
      </c>
      <c r="L56" t="s">
        <v>251</v>
      </c>
      <c r="M56" t="s">
        <v>70</v>
      </c>
      <c r="N56">
        <v>3</v>
      </c>
      <c r="O56" t="s">
        <v>128</v>
      </c>
      <c r="P56">
        <v>197.77333300000001</v>
      </c>
      <c r="Q56" t="s">
        <v>128</v>
      </c>
      <c r="R56">
        <v>165.45217400000001</v>
      </c>
      <c r="S56" t="s">
        <v>128</v>
      </c>
      <c r="T56">
        <v>156.27201099999999</v>
      </c>
      <c r="U56">
        <v>173.16583900000001</v>
      </c>
    </row>
    <row r="57" spans="1:21">
      <c r="A57" t="s">
        <v>239</v>
      </c>
      <c r="B57" t="s">
        <v>61</v>
      </c>
      <c r="C57">
        <v>2</v>
      </c>
      <c r="D57" t="s">
        <v>128</v>
      </c>
      <c r="E57">
        <v>155.45097999999999</v>
      </c>
      <c r="F57" t="s">
        <v>128</v>
      </c>
      <c r="G57">
        <v>176.07033000000001</v>
      </c>
      <c r="H57">
        <v>165.76065500000001</v>
      </c>
      <c r="L57" t="s">
        <v>252</v>
      </c>
      <c r="M57" t="s">
        <v>71</v>
      </c>
      <c r="N57">
        <v>3</v>
      </c>
      <c r="O57" t="s">
        <v>128</v>
      </c>
      <c r="P57">
        <v>148.419355</v>
      </c>
      <c r="Q57" t="s">
        <v>128</v>
      </c>
      <c r="R57">
        <v>213.963964</v>
      </c>
      <c r="S57" t="s">
        <v>128</v>
      </c>
      <c r="T57">
        <v>182.36454800000001</v>
      </c>
      <c r="U57">
        <v>181.58262199999999</v>
      </c>
    </row>
    <row r="58" spans="1:21">
      <c r="A58" t="s">
        <v>240</v>
      </c>
      <c r="B58" t="s">
        <v>59</v>
      </c>
      <c r="C58">
        <v>2</v>
      </c>
      <c r="D58" t="s">
        <v>170</v>
      </c>
      <c r="E58">
        <v>241.208955</v>
      </c>
      <c r="F58" t="s">
        <v>170</v>
      </c>
      <c r="G58">
        <v>190.61299399999999</v>
      </c>
      <c r="H58">
        <v>215.91097500000001</v>
      </c>
      <c r="L58" t="s">
        <v>253</v>
      </c>
      <c r="M58" t="s">
        <v>73</v>
      </c>
      <c r="N58">
        <v>3</v>
      </c>
      <c r="O58" t="s">
        <v>128</v>
      </c>
      <c r="P58">
        <v>133.942857</v>
      </c>
      <c r="Q58" t="s">
        <v>128</v>
      </c>
      <c r="R58">
        <v>253.12820500000001</v>
      </c>
      <c r="S58" t="s">
        <v>128</v>
      </c>
      <c r="T58">
        <v>166.39393899999999</v>
      </c>
      <c r="U58">
        <v>184.48833400000001</v>
      </c>
    </row>
    <row r="59" spans="1:21">
      <c r="A59" t="s">
        <v>241</v>
      </c>
      <c r="B59" t="s">
        <v>58</v>
      </c>
      <c r="C59">
        <v>2</v>
      </c>
      <c r="D59" t="s">
        <v>170</v>
      </c>
      <c r="E59">
        <v>210.85906</v>
      </c>
      <c r="F59" t="s">
        <v>128</v>
      </c>
      <c r="G59">
        <v>185.06127499999999</v>
      </c>
      <c r="H59">
        <v>197.96016700000001</v>
      </c>
      <c r="L59" t="s">
        <v>254</v>
      </c>
      <c r="M59" t="s">
        <v>74</v>
      </c>
      <c r="N59">
        <v>3</v>
      </c>
      <c r="O59" t="s">
        <v>128</v>
      </c>
      <c r="P59">
        <v>206.78022000000001</v>
      </c>
      <c r="Q59" t="s">
        <v>170</v>
      </c>
      <c r="R59">
        <v>174.05384599999999</v>
      </c>
      <c r="S59" t="s">
        <v>128</v>
      </c>
      <c r="T59">
        <v>162.85869600000001</v>
      </c>
      <c r="U59">
        <v>181.230921</v>
      </c>
    </row>
    <row r="60" spans="1:21">
      <c r="A60" t="s">
        <v>242</v>
      </c>
      <c r="B60" t="s">
        <v>57</v>
      </c>
      <c r="C60">
        <v>2</v>
      </c>
      <c r="D60" t="s">
        <v>170</v>
      </c>
      <c r="E60">
        <v>193.80620200000001</v>
      </c>
      <c r="F60" t="s">
        <v>170</v>
      </c>
      <c r="G60">
        <v>155.07327599999999</v>
      </c>
      <c r="H60">
        <v>174.439739</v>
      </c>
      <c r="L60" t="s">
        <v>255</v>
      </c>
      <c r="M60" t="s">
        <v>75</v>
      </c>
      <c r="N60">
        <v>3</v>
      </c>
      <c r="O60" t="s">
        <v>128</v>
      </c>
      <c r="P60">
        <v>170.885965</v>
      </c>
      <c r="Q60" t="s">
        <v>128</v>
      </c>
      <c r="R60">
        <v>240.30364399999999</v>
      </c>
      <c r="S60" t="s">
        <v>128</v>
      </c>
      <c r="T60">
        <v>178.34482800000001</v>
      </c>
      <c r="U60">
        <v>196.51147900000001</v>
      </c>
    </row>
    <row r="61" spans="1:21">
      <c r="A61" t="s">
        <v>243</v>
      </c>
      <c r="B61" t="s">
        <v>56</v>
      </c>
      <c r="C61">
        <v>2</v>
      </c>
      <c r="D61" t="s">
        <v>170</v>
      </c>
      <c r="E61">
        <v>158.79097400000001</v>
      </c>
      <c r="F61" t="s">
        <v>128</v>
      </c>
      <c r="G61">
        <v>193.030303</v>
      </c>
      <c r="H61">
        <v>175.91063800000001</v>
      </c>
      <c r="L61" t="s">
        <v>248</v>
      </c>
      <c r="M61" t="s">
        <v>49</v>
      </c>
      <c r="N61">
        <v>3</v>
      </c>
      <c r="O61" t="s">
        <v>128</v>
      </c>
      <c r="P61">
        <v>190.14367799999999</v>
      </c>
      <c r="Q61" t="s">
        <v>170</v>
      </c>
      <c r="R61">
        <v>176.79674800000001</v>
      </c>
      <c r="S61" t="s">
        <v>128</v>
      </c>
      <c r="T61">
        <v>193.95132699999999</v>
      </c>
      <c r="U61">
        <v>186.96391800000001</v>
      </c>
    </row>
    <row r="62" spans="1:21">
      <c r="A62" t="s">
        <v>244</v>
      </c>
      <c r="B62" t="s">
        <v>55</v>
      </c>
      <c r="C62">
        <v>2</v>
      </c>
      <c r="D62" t="s">
        <v>128</v>
      </c>
      <c r="E62">
        <v>159.34567899999999</v>
      </c>
      <c r="F62" t="s">
        <v>128</v>
      </c>
      <c r="G62">
        <v>186.157534</v>
      </c>
      <c r="H62">
        <v>172.75160700000001</v>
      </c>
      <c r="L62" t="s">
        <v>257</v>
      </c>
      <c r="M62" t="s">
        <v>154</v>
      </c>
      <c r="N62">
        <v>3</v>
      </c>
      <c r="O62" t="s">
        <v>170</v>
      </c>
      <c r="P62">
        <v>149.02941200000001</v>
      </c>
      <c r="Q62" t="s">
        <v>128</v>
      </c>
      <c r="R62">
        <v>165.265152</v>
      </c>
      <c r="S62" t="s">
        <v>128</v>
      </c>
      <c r="T62">
        <v>226.71977999999999</v>
      </c>
      <c r="U62">
        <v>180.33811399999999</v>
      </c>
    </row>
    <row r="63" spans="1:21">
      <c r="A63" t="s">
        <v>245</v>
      </c>
      <c r="B63" t="s">
        <v>54</v>
      </c>
      <c r="C63">
        <v>2</v>
      </c>
      <c r="D63" t="s">
        <v>170</v>
      </c>
      <c r="E63">
        <v>233.86496399999999</v>
      </c>
      <c r="F63" t="s">
        <v>170</v>
      </c>
      <c r="G63">
        <v>190.47191000000001</v>
      </c>
      <c r="H63">
        <v>212.16843700000001</v>
      </c>
      <c r="L63" t="s">
        <v>256</v>
      </c>
      <c r="M63" t="s">
        <v>155</v>
      </c>
      <c r="N63">
        <v>3</v>
      </c>
      <c r="O63" t="s">
        <v>170</v>
      </c>
      <c r="P63">
        <v>179.045455</v>
      </c>
      <c r="Q63" t="s">
        <v>170</v>
      </c>
      <c r="R63">
        <v>181.13793100000001</v>
      </c>
      <c r="S63" t="s">
        <v>128</v>
      </c>
      <c r="T63">
        <v>153.97183100000001</v>
      </c>
      <c r="U63">
        <v>171.38507200000001</v>
      </c>
    </row>
    <row r="64" spans="1:21">
      <c r="A64" t="s">
        <v>246</v>
      </c>
      <c r="B64" t="s">
        <v>157</v>
      </c>
      <c r="C64">
        <v>2</v>
      </c>
      <c r="D64" t="s">
        <v>170</v>
      </c>
      <c r="E64">
        <v>162.87719300000001</v>
      </c>
      <c r="F64" t="s">
        <v>170</v>
      </c>
      <c r="G64">
        <v>201.66666699999999</v>
      </c>
      <c r="H64">
        <v>182.27193</v>
      </c>
      <c r="L64" t="s">
        <v>260</v>
      </c>
      <c r="M64" t="s">
        <v>156</v>
      </c>
      <c r="N64">
        <v>3</v>
      </c>
      <c r="O64" t="s">
        <v>128</v>
      </c>
      <c r="P64">
        <v>155.252137</v>
      </c>
      <c r="Q64" t="s">
        <v>128</v>
      </c>
      <c r="R64">
        <v>194.52795</v>
      </c>
      <c r="S64" t="s">
        <v>170</v>
      </c>
      <c r="T64">
        <v>173.75877199999999</v>
      </c>
      <c r="U64">
        <v>174.51295300000001</v>
      </c>
    </row>
    <row r="65" spans="1:23">
      <c r="L65" t="s">
        <v>258</v>
      </c>
      <c r="M65" t="s">
        <v>158</v>
      </c>
      <c r="N65">
        <v>3</v>
      </c>
      <c r="O65" t="s">
        <v>170</v>
      </c>
      <c r="P65">
        <v>190.340136</v>
      </c>
      <c r="Q65" t="s">
        <v>170</v>
      </c>
      <c r="R65">
        <v>168.39919399999999</v>
      </c>
      <c r="S65" t="s">
        <v>170</v>
      </c>
      <c r="T65">
        <v>227.647887</v>
      </c>
      <c r="U65">
        <v>195.46240599999999</v>
      </c>
    </row>
    <row r="66" spans="1:23">
      <c r="L66" t="s">
        <v>259</v>
      </c>
      <c r="M66" t="s">
        <v>159</v>
      </c>
      <c r="N66">
        <v>3</v>
      </c>
      <c r="O66" t="s">
        <v>128</v>
      </c>
      <c r="P66">
        <v>150.79701499999999</v>
      </c>
      <c r="Q66" t="s">
        <v>128</v>
      </c>
      <c r="R66">
        <v>156.904977</v>
      </c>
      <c r="S66" t="s">
        <v>170</v>
      </c>
      <c r="T66">
        <v>177.014218</v>
      </c>
      <c r="U66">
        <v>161.57207</v>
      </c>
    </row>
    <row r="68" spans="1:23">
      <c r="A68" t="s">
        <v>235</v>
      </c>
      <c r="B68" t="s">
        <v>270</v>
      </c>
      <c r="C68" t="s">
        <v>271</v>
      </c>
      <c r="E68" s="24" t="s">
        <v>268</v>
      </c>
      <c r="F68" t="s">
        <v>272</v>
      </c>
    </row>
    <row r="69" spans="1:23">
      <c r="A69" t="s">
        <v>236</v>
      </c>
      <c r="B69" s="20" t="s">
        <v>128</v>
      </c>
      <c r="C69" s="20">
        <v>155.283019</v>
      </c>
      <c r="E69" s="25" t="s">
        <v>128</v>
      </c>
      <c r="F69">
        <v>183.03337318181818</v>
      </c>
      <c r="L69" s="26" t="s">
        <v>235</v>
      </c>
      <c r="M69" s="26" t="s">
        <v>270</v>
      </c>
      <c r="N69" s="26" t="s">
        <v>271</v>
      </c>
      <c r="P69" s="24" t="s">
        <v>268</v>
      </c>
      <c r="Q69" t="s">
        <v>272</v>
      </c>
    </row>
    <row r="70" spans="1:23">
      <c r="A70" t="s">
        <v>238</v>
      </c>
      <c r="B70" s="20" t="s">
        <v>128</v>
      </c>
      <c r="C70" s="20">
        <v>204.75380699999999</v>
      </c>
      <c r="E70" s="25" t="s">
        <v>170</v>
      </c>
      <c r="F70">
        <v>196.14542872727273</v>
      </c>
      <c r="L70" s="20" t="s">
        <v>247</v>
      </c>
      <c r="M70" s="20" t="s">
        <v>128</v>
      </c>
      <c r="N70" s="20">
        <v>192.61988299999999</v>
      </c>
      <c r="P70" s="25" t="s">
        <v>128</v>
      </c>
      <c r="Q70">
        <v>179.09341186666663</v>
      </c>
    </row>
    <row r="71" spans="1:23">
      <c r="A71" t="s">
        <v>239</v>
      </c>
      <c r="B71" s="20" t="s">
        <v>128</v>
      </c>
      <c r="C71" s="20">
        <v>155.45097999999999</v>
      </c>
      <c r="E71" s="25" t="s">
        <v>269</v>
      </c>
      <c r="F71">
        <v>189.58940095454548</v>
      </c>
      <c r="L71" s="20" t="s">
        <v>249</v>
      </c>
      <c r="M71" s="20" t="s">
        <v>128</v>
      </c>
      <c r="N71" s="20">
        <v>140.052885</v>
      </c>
      <c r="P71" s="25" t="s">
        <v>170</v>
      </c>
      <c r="Q71">
        <v>176.88555675000001</v>
      </c>
    </row>
    <row r="72" spans="1:23">
      <c r="A72" t="s">
        <v>244</v>
      </c>
      <c r="B72" s="20" t="s">
        <v>128</v>
      </c>
      <c r="C72" s="20">
        <v>159.34567899999999</v>
      </c>
      <c r="L72" s="20" t="s">
        <v>250</v>
      </c>
      <c r="M72" s="20" t="s">
        <v>128</v>
      </c>
      <c r="N72" s="20">
        <v>125.67857100000001</v>
      </c>
      <c r="P72" s="25" t="s">
        <v>269</v>
      </c>
      <c r="Q72">
        <v>178.46259611904759</v>
      </c>
    </row>
    <row r="73" spans="1:23">
      <c r="A73" t="s">
        <v>236</v>
      </c>
      <c r="B73" s="20" t="s">
        <v>128</v>
      </c>
      <c r="C73" s="20">
        <v>175.88665</v>
      </c>
      <c r="L73" s="20" t="s">
        <v>251</v>
      </c>
      <c r="M73" s="20" t="s">
        <v>128</v>
      </c>
      <c r="N73" s="20">
        <v>197.77333300000001</v>
      </c>
    </row>
    <row r="74" spans="1:23">
      <c r="A74" t="s">
        <v>237</v>
      </c>
      <c r="B74" s="20" t="s">
        <v>128</v>
      </c>
      <c r="C74" s="20">
        <v>259.644836</v>
      </c>
      <c r="E74" t="s">
        <v>109</v>
      </c>
      <c r="I74" t="s">
        <v>160</v>
      </c>
      <c r="L74" s="20" t="s">
        <v>252</v>
      </c>
      <c r="M74" s="20" t="s">
        <v>128</v>
      </c>
      <c r="N74" s="20">
        <v>148.419355</v>
      </c>
    </row>
    <row r="75" spans="1:23" ht="15.75" thickBot="1">
      <c r="A75" t="s">
        <v>238</v>
      </c>
      <c r="B75" s="20" t="s">
        <v>128</v>
      </c>
      <c r="C75" s="20">
        <v>162.682692</v>
      </c>
      <c r="F75" t="s">
        <v>128</v>
      </c>
      <c r="G75" t="s">
        <v>170</v>
      </c>
      <c r="L75" s="20" t="s">
        <v>253</v>
      </c>
      <c r="M75" s="20" t="s">
        <v>128</v>
      </c>
      <c r="N75" s="20">
        <v>133.942857</v>
      </c>
      <c r="P75" t="s">
        <v>109</v>
      </c>
      <c r="U75" t="s">
        <v>160</v>
      </c>
    </row>
    <row r="76" spans="1:23" ht="15.75" thickBot="1">
      <c r="A76" t="s">
        <v>239</v>
      </c>
      <c r="B76" s="20" t="s">
        <v>128</v>
      </c>
      <c r="C76" s="20">
        <v>176.07033000000001</v>
      </c>
      <c r="E76" s="4"/>
      <c r="F76" s="4" t="s">
        <v>97</v>
      </c>
      <c r="G76" s="4" t="s">
        <v>98</v>
      </c>
      <c r="I76" s="33"/>
      <c r="J76" s="33" t="s">
        <v>97</v>
      </c>
      <c r="K76" s="33" t="s">
        <v>98</v>
      </c>
      <c r="L76" s="20" t="s">
        <v>254</v>
      </c>
      <c r="M76" s="20" t="s">
        <v>128</v>
      </c>
      <c r="N76" s="20">
        <v>206.78022000000001</v>
      </c>
    </row>
    <row r="77" spans="1:23">
      <c r="A77" t="s">
        <v>241</v>
      </c>
      <c r="B77" s="20" t="s">
        <v>128</v>
      </c>
      <c r="C77" s="20">
        <v>185.06127499999999</v>
      </c>
      <c r="E77" t="s">
        <v>99</v>
      </c>
      <c r="F77">
        <v>183.03337318181818</v>
      </c>
      <c r="G77">
        <v>196.14542872727273</v>
      </c>
      <c r="I77" s="31" t="s">
        <v>99</v>
      </c>
      <c r="J77" s="31">
        <v>183.03337318181818</v>
      </c>
      <c r="K77" s="31">
        <v>196.14542872727273</v>
      </c>
      <c r="L77" s="20" t="s">
        <v>255</v>
      </c>
      <c r="M77" s="20" t="s">
        <v>128</v>
      </c>
      <c r="N77" s="20">
        <v>170.885965</v>
      </c>
      <c r="P77" s="33"/>
      <c r="Q77" s="33" t="s">
        <v>97</v>
      </c>
      <c r="R77" s="33" t="s">
        <v>98</v>
      </c>
      <c r="U77" s="33"/>
      <c r="V77" s="33" t="s">
        <v>97</v>
      </c>
      <c r="W77" s="33" t="s">
        <v>98</v>
      </c>
    </row>
    <row r="78" spans="1:23">
      <c r="A78" t="s">
        <v>243</v>
      </c>
      <c r="B78" s="20" t="s">
        <v>128</v>
      </c>
      <c r="C78" s="20">
        <v>193.030303</v>
      </c>
      <c r="E78" t="s">
        <v>100</v>
      </c>
      <c r="F78">
        <v>906.05921264408391</v>
      </c>
      <c r="G78">
        <v>845.16023000663847</v>
      </c>
      <c r="I78" s="31" t="s">
        <v>100</v>
      </c>
      <c r="J78" s="31">
        <v>906.05921264408391</v>
      </c>
      <c r="K78" s="31">
        <v>845.16023000663847</v>
      </c>
      <c r="L78" s="20" t="s">
        <v>248</v>
      </c>
      <c r="M78" s="20" t="s">
        <v>128</v>
      </c>
      <c r="N78" s="20">
        <v>190.14367799999999</v>
      </c>
      <c r="P78" s="31" t="s">
        <v>99</v>
      </c>
      <c r="Q78" s="31">
        <v>179.09341186666663</v>
      </c>
      <c r="R78" s="31">
        <v>176.88555675000001</v>
      </c>
      <c r="U78" s="31" t="s">
        <v>99</v>
      </c>
      <c r="V78" s="31">
        <v>179.09341186666663</v>
      </c>
      <c r="W78" s="31">
        <v>176.88555675000001</v>
      </c>
    </row>
    <row r="79" spans="1:23">
      <c r="A79" t="s">
        <v>244</v>
      </c>
      <c r="B79" s="22" t="s">
        <v>128</v>
      </c>
      <c r="C79" s="22">
        <v>186.157534</v>
      </c>
      <c r="E79" t="s">
        <v>101</v>
      </c>
      <c r="F79">
        <v>11</v>
      </c>
      <c r="G79">
        <v>11</v>
      </c>
      <c r="I79" s="31" t="s">
        <v>101</v>
      </c>
      <c r="J79" s="31">
        <v>11</v>
      </c>
      <c r="K79" s="31">
        <v>11</v>
      </c>
      <c r="L79" s="20" t="s">
        <v>260</v>
      </c>
      <c r="M79" s="20" t="s">
        <v>128</v>
      </c>
      <c r="N79" s="20">
        <v>155.252137</v>
      </c>
      <c r="P79" s="31" t="s">
        <v>100</v>
      </c>
      <c r="Q79" s="31">
        <v>1009.9693357996152</v>
      </c>
      <c r="R79" s="31">
        <v>383.39839179197389</v>
      </c>
      <c r="U79" s="31" t="s">
        <v>100</v>
      </c>
      <c r="V79" s="31">
        <v>1009.9693357996152</v>
      </c>
      <c r="W79" s="31">
        <v>383.39839179197389</v>
      </c>
    </row>
    <row r="80" spans="1:23">
      <c r="A80" t="s">
        <v>237</v>
      </c>
      <c r="B80" s="20" t="s">
        <v>170</v>
      </c>
      <c r="C80" s="20">
        <v>218.36752100000001</v>
      </c>
      <c r="E80" t="s">
        <v>110</v>
      </c>
      <c r="F80">
        <v>875.60972132536119</v>
      </c>
      <c r="I80" s="31" t="s">
        <v>103</v>
      </c>
      <c r="J80" s="31">
        <v>10</v>
      </c>
      <c r="K80" s="31">
        <v>10</v>
      </c>
      <c r="L80" s="20" t="s">
        <v>259</v>
      </c>
      <c r="M80" s="20" t="s">
        <v>128</v>
      </c>
      <c r="N80" s="20">
        <v>150.79701499999999</v>
      </c>
      <c r="P80" s="31" t="s">
        <v>101</v>
      </c>
      <c r="Q80" s="31">
        <v>30</v>
      </c>
      <c r="R80" s="31">
        <v>12</v>
      </c>
      <c r="U80" s="31" t="s">
        <v>101</v>
      </c>
      <c r="V80" s="31">
        <v>30</v>
      </c>
      <c r="W80" s="31">
        <v>12</v>
      </c>
    </row>
    <row r="81" spans="1:23">
      <c r="A81" t="s">
        <v>240</v>
      </c>
      <c r="B81" s="20" t="s">
        <v>170</v>
      </c>
      <c r="C81" s="20">
        <v>241.208955</v>
      </c>
      <c r="E81" t="s">
        <v>102</v>
      </c>
      <c r="F81">
        <v>0</v>
      </c>
      <c r="I81" s="31" t="s">
        <v>128</v>
      </c>
      <c r="J81" s="31">
        <v>1.0720561385584448</v>
      </c>
      <c r="K81" s="31"/>
      <c r="L81" s="20" t="s">
        <v>249</v>
      </c>
      <c r="M81" s="20" t="s">
        <v>128</v>
      </c>
      <c r="N81" s="20">
        <v>175.77197799999999</v>
      </c>
      <c r="P81" s="31" t="s">
        <v>110</v>
      </c>
      <c r="Q81" s="31">
        <v>837.66232619751395</v>
      </c>
      <c r="R81" s="31"/>
      <c r="U81" s="31" t="s">
        <v>103</v>
      </c>
      <c r="V81" s="31">
        <v>29</v>
      </c>
      <c r="W81" s="31">
        <v>11</v>
      </c>
    </row>
    <row r="82" spans="1:23">
      <c r="A82" t="s">
        <v>241</v>
      </c>
      <c r="B82" s="20" t="s">
        <v>170</v>
      </c>
      <c r="C82" s="20">
        <v>210.85906</v>
      </c>
      <c r="E82" t="s">
        <v>103</v>
      </c>
      <c r="F82">
        <v>20</v>
      </c>
      <c r="I82" s="31" t="s">
        <v>161</v>
      </c>
      <c r="J82" s="31">
        <v>0.45727913976215517</v>
      </c>
      <c r="K82" s="31"/>
      <c r="L82" s="20" t="s">
        <v>251</v>
      </c>
      <c r="M82" s="20" t="s">
        <v>128</v>
      </c>
      <c r="N82" s="20">
        <v>165.45217400000001</v>
      </c>
      <c r="P82" s="31" t="s">
        <v>102</v>
      </c>
      <c r="Q82" s="31">
        <v>0</v>
      </c>
      <c r="R82" s="31"/>
      <c r="U82" s="31" t="s">
        <v>128</v>
      </c>
      <c r="V82" s="31">
        <v>2.634255535290845</v>
      </c>
      <c r="W82" s="31"/>
    </row>
    <row r="83" spans="1:23" ht="15.75" thickBot="1">
      <c r="A83" t="s">
        <v>242</v>
      </c>
      <c r="B83" s="20" t="s">
        <v>170</v>
      </c>
      <c r="C83" s="20">
        <v>193.80620200000001</v>
      </c>
      <c r="E83" t="s">
        <v>104</v>
      </c>
      <c r="F83">
        <v>-1.0391944957649899</v>
      </c>
      <c r="I83" s="32" t="s">
        <v>162</v>
      </c>
      <c r="J83" s="32">
        <v>2.9782370160823217</v>
      </c>
      <c r="K83" s="32"/>
      <c r="L83" s="22" t="s">
        <v>252</v>
      </c>
      <c r="M83" s="22" t="s">
        <v>128</v>
      </c>
      <c r="N83" s="22">
        <v>213.963964</v>
      </c>
      <c r="P83" s="31" t="s">
        <v>103</v>
      </c>
      <c r="Q83" s="31">
        <v>40</v>
      </c>
      <c r="R83" s="31"/>
      <c r="U83" s="31" t="s">
        <v>161</v>
      </c>
      <c r="V83" s="31">
        <v>4.6282415342331011E-2</v>
      </c>
      <c r="W83" s="31"/>
    </row>
    <row r="84" spans="1:23" ht="15.75" thickBot="1">
      <c r="A84" t="s">
        <v>243</v>
      </c>
      <c r="B84" s="20" t="s">
        <v>170</v>
      </c>
      <c r="C84" s="20">
        <v>158.79097400000001</v>
      </c>
      <c r="E84" t="s">
        <v>105</v>
      </c>
      <c r="F84">
        <v>0.15555763498771033</v>
      </c>
      <c r="L84" s="20" t="s">
        <v>253</v>
      </c>
      <c r="M84" s="20" t="s">
        <v>128</v>
      </c>
      <c r="N84" s="20">
        <v>253.12820500000001</v>
      </c>
      <c r="P84" s="31" t="s">
        <v>104</v>
      </c>
      <c r="Q84" s="31">
        <v>0.22333803165437191</v>
      </c>
      <c r="R84" s="31"/>
      <c r="U84" s="32" t="s">
        <v>162</v>
      </c>
      <c r="V84" s="32">
        <v>2.5758605989686227</v>
      </c>
      <c r="W84" s="32"/>
    </row>
    <row r="85" spans="1:23">
      <c r="A85" t="s">
        <v>245</v>
      </c>
      <c r="B85" s="20" t="s">
        <v>170</v>
      </c>
      <c r="C85" s="20">
        <v>233.86496399999999</v>
      </c>
      <c r="E85" t="s">
        <v>106</v>
      </c>
      <c r="F85">
        <v>1.7247182429207868</v>
      </c>
      <c r="L85" s="20" t="s">
        <v>255</v>
      </c>
      <c r="M85" s="20" t="s">
        <v>128</v>
      </c>
      <c r="N85" s="20">
        <v>240.30364399999999</v>
      </c>
      <c r="P85" s="31" t="s">
        <v>105</v>
      </c>
      <c r="Q85" s="31">
        <v>0.41220455814373169</v>
      </c>
      <c r="R85" s="31"/>
    </row>
    <row r="86" spans="1:23">
      <c r="A86" t="s">
        <v>246</v>
      </c>
      <c r="B86" s="20" t="s">
        <v>170</v>
      </c>
      <c r="C86" s="20">
        <v>162.87719300000001</v>
      </c>
      <c r="E86" t="s">
        <v>107</v>
      </c>
      <c r="F86">
        <v>0.31111526997542066</v>
      </c>
      <c r="L86" s="20" t="s">
        <v>257</v>
      </c>
      <c r="M86" s="20" t="s">
        <v>128</v>
      </c>
      <c r="N86" s="20">
        <v>165.265152</v>
      </c>
      <c r="P86" s="31" t="s">
        <v>106</v>
      </c>
      <c r="Q86" s="31">
        <v>1.6838510133356521</v>
      </c>
      <c r="R86" s="31"/>
    </row>
    <row r="87" spans="1:23" ht="15.75" thickBot="1">
      <c r="A87" t="s">
        <v>240</v>
      </c>
      <c r="B87" s="20" t="s">
        <v>170</v>
      </c>
      <c r="C87" s="20">
        <v>190.61299399999999</v>
      </c>
      <c r="E87" s="3" t="s">
        <v>108</v>
      </c>
      <c r="F87" s="3">
        <v>2.0859634472658648</v>
      </c>
      <c r="G87" s="3"/>
      <c r="L87" s="20" t="s">
        <v>260</v>
      </c>
      <c r="M87" s="20" t="s">
        <v>128</v>
      </c>
      <c r="N87" s="20">
        <v>194.52795</v>
      </c>
      <c r="P87" s="31" t="s">
        <v>107</v>
      </c>
      <c r="Q87" s="31">
        <v>0.82440911628746338</v>
      </c>
      <c r="R87" s="31"/>
    </row>
    <row r="88" spans="1:23" ht="15.75" thickBot="1">
      <c r="A88" t="s">
        <v>242</v>
      </c>
      <c r="B88" s="20" t="s">
        <v>170</v>
      </c>
      <c r="C88" s="20">
        <v>155.07327599999999</v>
      </c>
      <c r="L88" s="20" t="s">
        <v>259</v>
      </c>
      <c r="M88" s="20" t="s">
        <v>128</v>
      </c>
      <c r="N88" s="20">
        <v>156.904977</v>
      </c>
      <c r="P88" s="32" t="s">
        <v>108</v>
      </c>
      <c r="Q88" s="32">
        <v>2.0210753903062737</v>
      </c>
      <c r="R88" s="32"/>
    </row>
    <row r="89" spans="1:23">
      <c r="A89" t="s">
        <v>245</v>
      </c>
      <c r="B89" s="20" t="s">
        <v>170</v>
      </c>
      <c r="C89" s="20">
        <v>190.47191000000001</v>
      </c>
      <c r="L89" s="20" t="s">
        <v>247</v>
      </c>
      <c r="M89" s="20" t="s">
        <v>128</v>
      </c>
      <c r="N89" s="20">
        <v>166.052301</v>
      </c>
    </row>
    <row r="90" spans="1:23">
      <c r="A90" t="s">
        <v>246</v>
      </c>
      <c r="B90" s="22" t="s">
        <v>170</v>
      </c>
      <c r="C90" s="22">
        <v>201.66666699999999</v>
      </c>
      <c r="E90" t="s">
        <v>174</v>
      </c>
      <c r="L90" s="20" t="s">
        <v>249</v>
      </c>
      <c r="M90" s="20" t="s">
        <v>128</v>
      </c>
      <c r="N90" s="20">
        <v>235.84090900000001</v>
      </c>
      <c r="P90" t="s">
        <v>174</v>
      </c>
    </row>
    <row r="91" spans="1:23" ht="15.75" thickBot="1">
      <c r="A91" s="34"/>
      <c r="F91" t="s">
        <v>128</v>
      </c>
      <c r="G91" t="s">
        <v>170</v>
      </c>
      <c r="I91" s="34"/>
      <c r="J91" s="34"/>
      <c r="K91" s="34"/>
      <c r="L91" s="20" t="s">
        <v>250</v>
      </c>
      <c r="M91" s="20" t="s">
        <v>128</v>
      </c>
      <c r="N91" s="20">
        <v>172.36824300000001</v>
      </c>
    </row>
    <row r="92" spans="1:23">
      <c r="A92" s="34"/>
      <c r="E92" s="4"/>
      <c r="F92" s="4" t="s">
        <v>97</v>
      </c>
      <c r="G92" s="4" t="s">
        <v>98</v>
      </c>
      <c r="I92" s="34"/>
      <c r="J92" s="34"/>
      <c r="K92" s="34"/>
      <c r="L92" s="20" t="s">
        <v>251</v>
      </c>
      <c r="M92" s="20" t="s">
        <v>128</v>
      </c>
      <c r="N92" s="20">
        <v>156.27201099999999</v>
      </c>
      <c r="P92" s="33"/>
      <c r="Q92" s="33" t="s">
        <v>97</v>
      </c>
      <c r="R92" s="33" t="s">
        <v>98</v>
      </c>
    </row>
    <row r="93" spans="1:23">
      <c r="A93" s="36"/>
      <c r="E93" t="s">
        <v>99</v>
      </c>
      <c r="F93">
        <v>183.03337318181818</v>
      </c>
      <c r="G93">
        <v>196.14542872727273</v>
      </c>
      <c r="I93" s="34"/>
      <c r="J93" s="34"/>
      <c r="K93" s="34"/>
      <c r="L93" s="20" t="s">
        <v>252</v>
      </c>
      <c r="M93" s="20" t="s">
        <v>128</v>
      </c>
      <c r="N93" s="20">
        <v>182.36454800000001</v>
      </c>
      <c r="P93" s="31" t="s">
        <v>99</v>
      </c>
      <c r="Q93" s="31">
        <v>179.09341186666663</v>
      </c>
      <c r="R93" s="31">
        <v>176.88555675000001</v>
      </c>
    </row>
    <row r="94" spans="1:23">
      <c r="A94" s="36"/>
      <c r="E94" t="s">
        <v>100</v>
      </c>
      <c r="F94">
        <v>906.05921264408391</v>
      </c>
      <c r="G94">
        <v>845.16023000663847</v>
      </c>
      <c r="I94" s="35"/>
      <c r="J94" s="35"/>
      <c r="K94" s="35"/>
      <c r="L94" s="20" t="s">
        <v>253</v>
      </c>
      <c r="M94" s="20" t="s">
        <v>128</v>
      </c>
      <c r="N94" s="20">
        <v>166.39393899999999</v>
      </c>
      <c r="P94" s="31" t="s">
        <v>100</v>
      </c>
      <c r="Q94" s="31">
        <v>1009.9693357996152</v>
      </c>
      <c r="R94" s="31">
        <v>383.39839179197389</v>
      </c>
    </row>
    <row r="95" spans="1:23">
      <c r="A95" s="36"/>
      <c r="E95" t="s">
        <v>101</v>
      </c>
      <c r="F95">
        <v>11</v>
      </c>
      <c r="G95">
        <v>11</v>
      </c>
      <c r="I95" s="31"/>
      <c r="J95" s="31"/>
      <c r="K95" s="31"/>
      <c r="L95" s="20" t="s">
        <v>254</v>
      </c>
      <c r="M95" s="20" t="s">
        <v>128</v>
      </c>
      <c r="N95" s="20">
        <v>162.85869600000001</v>
      </c>
      <c r="P95" s="31" t="s">
        <v>101</v>
      </c>
      <c r="Q95" s="31">
        <v>30</v>
      </c>
      <c r="R95" s="31">
        <v>12</v>
      </c>
    </row>
    <row r="96" spans="1:23">
      <c r="A96" s="36"/>
      <c r="E96" t="s">
        <v>102</v>
      </c>
      <c r="F96">
        <v>0</v>
      </c>
      <c r="I96" s="31"/>
      <c r="J96" s="31"/>
      <c r="K96" s="31"/>
      <c r="L96" s="20" t="s">
        <v>255</v>
      </c>
      <c r="M96" s="20" t="s">
        <v>128</v>
      </c>
      <c r="N96" s="20">
        <v>178.34482800000001</v>
      </c>
      <c r="P96" s="31" t="s">
        <v>102</v>
      </c>
      <c r="Q96" s="31">
        <v>0</v>
      </c>
      <c r="R96" s="31"/>
    </row>
    <row r="97" spans="1:18">
      <c r="A97" s="36"/>
      <c r="E97" t="s">
        <v>103</v>
      </c>
      <c r="F97">
        <v>20</v>
      </c>
      <c r="I97" s="31"/>
      <c r="J97" s="31"/>
      <c r="K97" s="31"/>
      <c r="L97" s="22" t="s">
        <v>248</v>
      </c>
      <c r="M97" s="22" t="s">
        <v>128</v>
      </c>
      <c r="N97" s="22">
        <v>193.95132699999999</v>
      </c>
      <c r="P97" s="31" t="s">
        <v>103</v>
      </c>
      <c r="Q97" s="31">
        <v>33</v>
      </c>
      <c r="R97" s="31"/>
    </row>
    <row r="98" spans="1:18">
      <c r="A98" s="36"/>
      <c r="E98" t="s">
        <v>104</v>
      </c>
      <c r="F98">
        <v>-1.0391944957649888</v>
      </c>
      <c r="I98" s="31"/>
      <c r="J98" s="31"/>
      <c r="K98" s="31"/>
      <c r="L98" s="20" t="s">
        <v>257</v>
      </c>
      <c r="M98" s="20" t="s">
        <v>128</v>
      </c>
      <c r="N98" s="20">
        <v>226.71977999999999</v>
      </c>
      <c r="P98" s="31" t="s">
        <v>104</v>
      </c>
      <c r="Q98" s="31">
        <v>0.27256325986245744</v>
      </c>
      <c r="R98" s="31"/>
    </row>
    <row r="99" spans="1:18">
      <c r="A99" s="36"/>
      <c r="E99" t="s">
        <v>105</v>
      </c>
      <c r="F99">
        <v>0.15555763498771033</v>
      </c>
      <c r="I99" s="31"/>
      <c r="J99" s="31"/>
      <c r="K99" s="31"/>
      <c r="L99" s="20" t="s">
        <v>256</v>
      </c>
      <c r="M99" s="20" t="s">
        <v>128</v>
      </c>
      <c r="N99" s="20">
        <v>153.97183100000001</v>
      </c>
      <c r="P99" s="31" t="s">
        <v>105</v>
      </c>
      <c r="Q99" s="31">
        <v>0.3934436422446595</v>
      </c>
      <c r="R99" s="31"/>
    </row>
    <row r="100" spans="1:18">
      <c r="A100" s="36"/>
      <c r="E100" t="s">
        <v>106</v>
      </c>
      <c r="F100">
        <v>1.7247182429207868</v>
      </c>
      <c r="I100" s="31"/>
      <c r="J100" s="31"/>
      <c r="K100" s="31"/>
      <c r="L100" s="20" t="s">
        <v>257</v>
      </c>
      <c r="M100" s="20" t="s">
        <v>170</v>
      </c>
      <c r="N100" s="20">
        <v>149.02941200000001</v>
      </c>
      <c r="P100" s="31" t="s">
        <v>106</v>
      </c>
      <c r="Q100" s="31">
        <v>1.6923603090303456</v>
      </c>
      <c r="R100" s="31"/>
    </row>
    <row r="101" spans="1:18">
      <c r="A101" s="36"/>
      <c r="E101" t="s">
        <v>107</v>
      </c>
      <c r="F101">
        <v>0.31111526997542066</v>
      </c>
      <c r="I101" s="31"/>
      <c r="J101" s="31"/>
      <c r="K101" s="31"/>
      <c r="L101" s="20" t="s">
        <v>256</v>
      </c>
      <c r="M101" s="20" t="s">
        <v>170</v>
      </c>
      <c r="N101" s="20">
        <v>179.045455</v>
      </c>
      <c r="P101" s="31" t="s">
        <v>107</v>
      </c>
      <c r="Q101" s="31">
        <v>0.78688728448931899</v>
      </c>
      <c r="R101" s="31"/>
    </row>
    <row r="102" spans="1:18" ht="15.75" thickBot="1">
      <c r="A102" s="36"/>
      <c r="E102" s="3" t="s">
        <v>108</v>
      </c>
      <c r="F102" s="3">
        <v>2.0859634472658648</v>
      </c>
      <c r="G102" s="3"/>
      <c r="I102" s="31"/>
      <c r="J102" s="31"/>
      <c r="K102" s="31"/>
      <c r="L102" s="20" t="s">
        <v>258</v>
      </c>
      <c r="M102" s="20" t="s">
        <v>170</v>
      </c>
      <c r="N102" s="20">
        <v>190.340136</v>
      </c>
      <c r="P102" s="32" t="s">
        <v>108</v>
      </c>
      <c r="Q102" s="32">
        <v>2.0345152974493397</v>
      </c>
      <c r="R102" s="32"/>
    </row>
    <row r="103" spans="1:18">
      <c r="A103" s="36"/>
      <c r="I103" s="31"/>
      <c r="J103" s="31"/>
      <c r="K103" s="31"/>
      <c r="L103" s="20" t="s">
        <v>247</v>
      </c>
      <c r="M103" s="20" t="s">
        <v>170</v>
      </c>
      <c r="N103" s="20">
        <v>153.51952</v>
      </c>
    </row>
    <row r="104" spans="1:18">
      <c r="A104" s="36"/>
      <c r="I104" s="31"/>
      <c r="J104" s="31"/>
      <c r="K104" s="31"/>
      <c r="L104" s="20" t="s">
        <v>250</v>
      </c>
      <c r="M104" s="20" t="s">
        <v>170</v>
      </c>
      <c r="N104" s="20">
        <v>171.88356200000001</v>
      </c>
    </row>
    <row r="105" spans="1:18">
      <c r="A105" s="36"/>
      <c r="I105" s="34"/>
      <c r="J105" s="34"/>
      <c r="K105" s="34"/>
      <c r="L105" s="20" t="s">
        <v>254</v>
      </c>
      <c r="M105" s="20" t="s">
        <v>170</v>
      </c>
      <c r="N105" s="20">
        <v>174.05384599999999</v>
      </c>
    </row>
    <row r="106" spans="1:18">
      <c r="A106" s="36"/>
      <c r="I106" s="34"/>
      <c r="J106" s="34"/>
      <c r="K106" s="34"/>
      <c r="L106" s="20" t="s">
        <v>248</v>
      </c>
      <c r="M106" s="20" t="s">
        <v>170</v>
      </c>
      <c r="N106" s="20">
        <v>176.79674800000001</v>
      </c>
    </row>
    <row r="107" spans="1:18">
      <c r="A107" s="36"/>
      <c r="I107" s="34"/>
      <c r="J107" s="34"/>
      <c r="K107" s="34"/>
      <c r="L107" s="20" t="s">
        <v>256</v>
      </c>
      <c r="M107" s="20" t="s">
        <v>170</v>
      </c>
      <c r="N107" s="20">
        <v>181.13793100000001</v>
      </c>
    </row>
    <row r="108" spans="1:18">
      <c r="A108" s="36"/>
      <c r="L108" s="20" t="s">
        <v>258</v>
      </c>
      <c r="M108" s="20" t="s">
        <v>170</v>
      </c>
      <c r="N108" s="20">
        <v>168.39919399999999</v>
      </c>
    </row>
    <row r="109" spans="1:18">
      <c r="A109" s="36"/>
      <c r="L109" s="20" t="s">
        <v>260</v>
      </c>
      <c r="M109" s="20" t="s">
        <v>170</v>
      </c>
      <c r="N109" s="20">
        <v>173.75877199999999</v>
      </c>
    </row>
    <row r="110" spans="1:18">
      <c r="A110" s="36"/>
      <c r="L110" s="20" t="s">
        <v>258</v>
      </c>
      <c r="M110" s="20" t="s">
        <v>170</v>
      </c>
      <c r="N110" s="20">
        <v>227.647887</v>
      </c>
    </row>
    <row r="111" spans="1:18">
      <c r="A111" s="36"/>
      <c r="L111" s="20" t="s">
        <v>259</v>
      </c>
      <c r="M111" s="20" t="s">
        <v>170</v>
      </c>
      <c r="N111" s="20">
        <v>177.014218</v>
      </c>
    </row>
    <row r="112" spans="1:18">
      <c r="A112" s="36"/>
    </row>
    <row r="113" spans="1:1">
      <c r="A113" s="36"/>
    </row>
    <row r="114" spans="1:1">
      <c r="A114" s="36"/>
    </row>
    <row r="115" spans="1:1">
      <c r="A115" s="34"/>
    </row>
    <row r="116" spans="1:1">
      <c r="A116" s="34"/>
    </row>
    <row r="117" spans="1:1">
      <c r="A117" s="34"/>
    </row>
  </sheetData>
  <phoneticPr fontId="5" type="noConversion"/>
  <pageMargins left="0.7" right="0.7" top="0.75" bottom="0.75" header="0.3" footer="0.3"/>
  <pageSetup paperSize="9" orientation="portrait" r:id="rId3"/>
  <drawing r:id="rId4"/>
  <tableParts count="6">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B891-F584-4F5A-A553-41469C7D6F94}">
  <dimension ref="B1:AO196"/>
  <sheetViews>
    <sheetView tabSelected="1" topLeftCell="A141" zoomScale="90" zoomScaleNormal="90" workbookViewId="0">
      <selection activeCell="S173" sqref="S173"/>
    </sheetView>
  </sheetViews>
  <sheetFormatPr defaultRowHeight="15"/>
  <cols>
    <col min="2" max="2" width="19.7109375" customWidth="1"/>
    <col min="3" max="3" width="57.140625" customWidth="1"/>
    <col min="4" max="4" width="13" customWidth="1"/>
    <col min="6" max="6" width="13.28515625" bestFit="1" customWidth="1"/>
    <col min="7" max="7" width="15.28515625" bestFit="1" customWidth="1"/>
    <col min="9" max="9" width="58.28515625" customWidth="1"/>
    <col min="11" max="11" width="19.7109375" customWidth="1"/>
    <col min="13" max="13" width="13" customWidth="1"/>
    <col min="14" max="14" width="11.85546875" customWidth="1"/>
    <col min="15" max="15" width="13.28515625" bestFit="1" customWidth="1"/>
    <col min="16" max="16" width="15.28515625" bestFit="1" customWidth="1"/>
  </cols>
  <sheetData>
    <row r="1" spans="2:16">
      <c r="B1" t="s">
        <v>273</v>
      </c>
      <c r="C1" t="s">
        <v>0</v>
      </c>
      <c r="D1" t="s">
        <v>88</v>
      </c>
      <c r="E1" t="s">
        <v>89</v>
      </c>
      <c r="F1" t="s">
        <v>95</v>
      </c>
      <c r="H1" t="s">
        <v>235</v>
      </c>
      <c r="I1" t="s">
        <v>0</v>
      </c>
      <c r="J1" t="s">
        <v>88</v>
      </c>
      <c r="K1" t="s">
        <v>89</v>
      </c>
      <c r="L1" t="s">
        <v>90</v>
      </c>
      <c r="M1" t="s">
        <v>92</v>
      </c>
      <c r="N1" t="s">
        <v>93</v>
      </c>
      <c r="O1" t="s">
        <v>94</v>
      </c>
      <c r="P1" t="s">
        <v>96</v>
      </c>
    </row>
    <row r="2" spans="2:16">
      <c r="B2" s="19" t="s">
        <v>236</v>
      </c>
      <c r="C2" s="2" t="s">
        <v>65</v>
      </c>
      <c r="D2" s="7">
        <v>2.4711409999999998</v>
      </c>
      <c r="E2" s="2">
        <v>30.938687999999999</v>
      </c>
      <c r="F2" s="2">
        <f>AVERAGE(Table1[[#This Row],[P1]]:Table1[[#This Row],[P2]])</f>
        <v>16.704914500000001</v>
      </c>
      <c r="H2" t="s">
        <v>247</v>
      </c>
      <c r="I2" s="2" t="s">
        <v>66</v>
      </c>
      <c r="J2" s="2">
        <v>13.27946</v>
      </c>
      <c r="K2" s="2">
        <v>26.720863999999999</v>
      </c>
      <c r="L2" s="2">
        <v>36.113652999999999</v>
      </c>
      <c r="M2" s="2">
        <f>AVERAGE(Table2[[#This Row],[P1]:[P2]])</f>
        <v>20.000162</v>
      </c>
      <c r="N2" s="2">
        <f t="shared" ref="N2:N10" si="0">AVERAGE(J2,L2)</f>
        <v>24.6965565</v>
      </c>
      <c r="O2" s="2">
        <f>AVERAGE(Table2[[#This Row],[P2]]:Table2[[#This Row],[P3]])</f>
        <v>31.417258499999999</v>
      </c>
      <c r="P2" s="2">
        <f>AVERAGE(Table2[[#This Row],[P1]],Table2[[#This Row],[P2]],Table2[[#This Row],[P3]])</f>
        <v>25.371325666666667</v>
      </c>
    </row>
    <row r="3" spans="2:16">
      <c r="B3" s="19" t="s">
        <v>237</v>
      </c>
      <c r="C3" s="2" t="s">
        <v>64</v>
      </c>
      <c r="D3" s="2">
        <v>32.792991000000001</v>
      </c>
      <c r="E3" s="2">
        <v>31.456980000000001</v>
      </c>
      <c r="F3" s="2">
        <f>AVERAGE(Table1[[#This Row],[P1]]:Table1[[#This Row],[P2]])</f>
        <v>32.124985500000001</v>
      </c>
      <c r="H3" t="s">
        <v>249</v>
      </c>
      <c r="I3" s="2" t="s">
        <v>68</v>
      </c>
      <c r="J3" s="2">
        <v>18.098331000000002</v>
      </c>
      <c r="K3" s="2">
        <v>29.803229999999999</v>
      </c>
      <c r="L3" s="2">
        <v>14.655714</v>
      </c>
      <c r="M3" s="2">
        <f>AVERAGE(Table2[[#This Row],[P1]:[P2]])</f>
        <v>23.9507805</v>
      </c>
      <c r="N3" s="2">
        <f>AVERAGE(J3,L3)</f>
        <v>16.377022500000002</v>
      </c>
      <c r="O3" s="2">
        <f>AVERAGE(Table2[[#This Row],[P2]]:Table2[[#This Row],[P3]])</f>
        <v>22.229472000000001</v>
      </c>
      <c r="P3" s="2">
        <f>AVERAGE(Table2[[#This Row],[P1]],Table2[[#This Row],[P2]],Table2[[#This Row],[P3]])</f>
        <v>20.852425</v>
      </c>
    </row>
    <row r="4" spans="2:16">
      <c r="B4" s="19" t="s">
        <v>238</v>
      </c>
      <c r="C4" s="2" t="s">
        <v>62</v>
      </c>
      <c r="D4" s="2">
        <v>32.033904</v>
      </c>
      <c r="E4" s="2">
        <v>34.357607000000002</v>
      </c>
      <c r="F4" s="2">
        <f>AVERAGE(Table1[[#This Row],[P1]]:Table1[[#This Row],[P2]])</f>
        <v>33.195755500000004</v>
      </c>
      <c r="H4" t="s">
        <v>250</v>
      </c>
      <c r="I4" s="2" t="s">
        <v>69</v>
      </c>
      <c r="J4" s="7">
        <v>2.2134100000000001</v>
      </c>
      <c r="K4" s="2">
        <v>11.462300000000001</v>
      </c>
      <c r="L4" s="2">
        <v>22.608398000000001</v>
      </c>
      <c r="M4" s="2">
        <f>AVERAGE(Table2[[#This Row],[P1]:[P2]])</f>
        <v>6.8378550000000002</v>
      </c>
      <c r="N4" s="2">
        <f t="shared" si="0"/>
        <v>12.410904</v>
      </c>
      <c r="O4" s="2">
        <f>AVERAGE(Table2[[#This Row],[P2]]:Table2[[#This Row],[P3]])</f>
        <v>17.035349</v>
      </c>
      <c r="P4" s="2">
        <f>AVERAGE(Table2[[#This Row],[P1]],Table2[[#This Row],[P2]],Table2[[#This Row],[P3]])</f>
        <v>12.094702666666668</v>
      </c>
    </row>
    <row r="5" spans="2:16">
      <c r="B5" s="19" t="s">
        <v>239</v>
      </c>
      <c r="C5" s="2" t="s">
        <v>61</v>
      </c>
      <c r="D5" s="2">
        <v>38.272494999999999</v>
      </c>
      <c r="E5" s="2">
        <v>39.090671999999998</v>
      </c>
      <c r="F5" s="2">
        <f>AVERAGE(Table1[[#This Row],[P1]]:Table1[[#This Row],[P2]])</f>
        <v>38.681583500000002</v>
      </c>
      <c r="H5" t="s">
        <v>251</v>
      </c>
      <c r="I5" s="2" t="s">
        <v>70</v>
      </c>
      <c r="J5" s="2">
        <v>24.187462</v>
      </c>
      <c r="K5" s="2">
        <v>7.7812380000000001</v>
      </c>
      <c r="L5" s="7">
        <v>58.124909000000002</v>
      </c>
      <c r="M5" s="2">
        <f>AVERAGE(Table2[[#This Row],[P1]:[P2]])</f>
        <v>15.984349999999999</v>
      </c>
      <c r="N5" s="2">
        <f t="shared" si="0"/>
        <v>41.156185499999999</v>
      </c>
      <c r="O5" s="2">
        <f>AVERAGE(Table2[[#This Row],[P2]]:Table2[[#This Row],[P3]])</f>
        <v>32.953073500000002</v>
      </c>
      <c r="P5" s="2">
        <f>AVERAGE(Table2[[#This Row],[P1]],Table2[[#This Row],[P2]],Table2[[#This Row],[P3]])</f>
        <v>30.031203000000001</v>
      </c>
    </row>
    <row r="6" spans="2:16">
      <c r="B6" s="19" t="s">
        <v>240</v>
      </c>
      <c r="C6" s="2" t="s">
        <v>59</v>
      </c>
      <c r="D6" s="2">
        <v>17.652170000000002</v>
      </c>
      <c r="E6" s="2">
        <v>30.456852999999999</v>
      </c>
      <c r="F6" s="2">
        <f>AVERAGE(Table1[[#This Row],[P1]]:Table1[[#This Row],[P2]])</f>
        <v>24.0545115</v>
      </c>
      <c r="H6" t="s">
        <v>252</v>
      </c>
      <c r="I6" s="2" t="s">
        <v>71</v>
      </c>
      <c r="J6" s="2">
        <v>13.098208</v>
      </c>
      <c r="K6" s="2">
        <v>8.8605520000000002</v>
      </c>
      <c r="L6" s="2">
        <v>23.981276999999999</v>
      </c>
      <c r="M6" s="2">
        <f>AVERAGE(Table2[[#This Row],[P1]:[P2]])</f>
        <v>10.979379999999999</v>
      </c>
      <c r="N6" s="2">
        <f>AVERAGE(J6,L6)</f>
        <v>18.539742499999999</v>
      </c>
      <c r="O6" s="2">
        <f>AVERAGE(Table2[[#This Row],[P2]]:Table2[[#This Row],[P3]])</f>
        <v>16.420914499999999</v>
      </c>
      <c r="P6" s="2">
        <f>AVERAGE(Table2[[#This Row],[P1]],Table2[[#This Row],[P2]],Table2[[#This Row],[P3]])</f>
        <v>15.313345666666665</v>
      </c>
    </row>
    <row r="7" spans="2:16">
      <c r="B7" s="19" t="s">
        <v>241</v>
      </c>
      <c r="C7" s="2" t="s">
        <v>58</v>
      </c>
      <c r="D7" s="2">
        <v>13.541086</v>
      </c>
      <c r="E7" s="2">
        <v>38.751725</v>
      </c>
      <c r="F7" s="2">
        <f>AVERAGE(Table1[[#This Row],[P1]]:Table1[[#This Row],[P2]])</f>
        <v>26.1464055</v>
      </c>
      <c r="H7" t="s">
        <v>253</v>
      </c>
      <c r="I7" s="2" t="s">
        <v>73</v>
      </c>
      <c r="J7" s="2">
        <v>9.9307610000000004</v>
      </c>
      <c r="K7" s="2">
        <v>10.206614999999999</v>
      </c>
      <c r="L7" s="2">
        <v>6.4825799999999996</v>
      </c>
      <c r="M7" s="2">
        <f>AVERAGE(Table2[[#This Row],[P1]:[P2]])</f>
        <v>10.068688</v>
      </c>
      <c r="N7" s="2">
        <f t="shared" si="0"/>
        <v>8.2066704999999995</v>
      </c>
      <c r="O7" s="2">
        <f>AVERAGE(Table2[[#This Row],[P2]]:Table2[[#This Row],[P3]])</f>
        <v>8.344597499999999</v>
      </c>
      <c r="P7" s="2">
        <f>AVERAGE(Table2[[#This Row],[P1]],Table2[[#This Row],[P2]],Table2[[#This Row],[P3]])</f>
        <v>8.8733186666666661</v>
      </c>
    </row>
    <row r="8" spans="2:16">
      <c r="B8" s="19" t="s">
        <v>242</v>
      </c>
      <c r="C8" s="2" t="s">
        <v>57</v>
      </c>
      <c r="D8" s="2">
        <v>22.615593000000001</v>
      </c>
      <c r="E8" s="2">
        <v>41.354227999999999</v>
      </c>
      <c r="F8" s="2">
        <f>AVERAGE(Table1[[#This Row],[P1]]:Table1[[#This Row],[P2]])</f>
        <v>31.984910499999998</v>
      </c>
      <c r="H8" t="s">
        <v>254</v>
      </c>
      <c r="I8" s="2" t="s">
        <v>74</v>
      </c>
      <c r="J8" s="2">
        <v>18.789473999999998</v>
      </c>
      <c r="K8" s="2">
        <v>14.210526</v>
      </c>
      <c r="L8" s="2">
        <v>7.4210529999999997</v>
      </c>
      <c r="M8" s="2">
        <f>AVERAGE(Table2[[#This Row],[P1]:[P2]])</f>
        <v>16.5</v>
      </c>
      <c r="N8" s="2">
        <f t="shared" si="0"/>
        <v>13.1052635</v>
      </c>
      <c r="O8" s="2">
        <f>AVERAGE(Table2[[#This Row],[P2]]:Table2[[#This Row],[P3]])</f>
        <v>10.815789499999999</v>
      </c>
      <c r="P8" s="2">
        <f>AVERAGE(Table2[[#This Row],[P1]],Table2[[#This Row],[P2]],Table2[[#This Row],[P3]])</f>
        <v>13.473684333333333</v>
      </c>
    </row>
    <row r="9" spans="2:16">
      <c r="B9" s="19" t="s">
        <v>243</v>
      </c>
      <c r="C9" s="2" t="s">
        <v>56</v>
      </c>
      <c r="D9" s="2">
        <v>60.294035000000001</v>
      </c>
      <c r="E9" s="2">
        <v>25.324967000000001</v>
      </c>
      <c r="F9" s="2">
        <f>AVERAGE(Table1[[#This Row],[P1]]:Table1[[#This Row],[P2]])</f>
        <v>42.809500999999997</v>
      </c>
      <c r="H9" t="s">
        <v>255</v>
      </c>
      <c r="I9" s="2" t="s">
        <v>75</v>
      </c>
      <c r="J9" s="2">
        <v>13.606121</v>
      </c>
      <c r="K9" s="2">
        <v>26.940118999999999</v>
      </c>
      <c r="L9" s="2">
        <v>34.287424999999999</v>
      </c>
      <c r="M9" s="2">
        <f>AVERAGE(Table2[[#This Row],[P1]:[P2]])</f>
        <v>20.273119999999999</v>
      </c>
      <c r="N9" s="2">
        <f t="shared" si="0"/>
        <v>23.946773</v>
      </c>
      <c r="O9" s="2">
        <f>AVERAGE(Table2[[#This Row],[P2]]:Table2[[#This Row],[P3]])</f>
        <v>30.613771999999997</v>
      </c>
      <c r="P9" s="2">
        <f>AVERAGE(Table2[[#This Row],[P1]],Table2[[#This Row],[P2]],Table2[[#This Row],[P3]])</f>
        <v>24.944554999999998</v>
      </c>
    </row>
    <row r="10" spans="2:16">
      <c r="B10" s="19" t="s">
        <v>244</v>
      </c>
      <c r="C10" s="2" t="s">
        <v>55</v>
      </c>
      <c r="D10" s="2">
        <v>5.3683930000000002</v>
      </c>
      <c r="E10" s="2">
        <v>24.631449</v>
      </c>
      <c r="F10" s="2">
        <f>AVERAGE(Table1[[#This Row],[P1]]:Table1[[#This Row],[P2]])</f>
        <v>14.999921000000001</v>
      </c>
      <c r="H10" t="s">
        <v>248</v>
      </c>
      <c r="I10" s="2" t="s">
        <v>49</v>
      </c>
      <c r="J10" s="2">
        <v>31.080375</v>
      </c>
      <c r="K10" s="2">
        <v>10.094481</v>
      </c>
      <c r="L10" s="2">
        <v>17.930986000000001</v>
      </c>
      <c r="M10" s="2">
        <f>AVERAGE(Table2[[#This Row],[P1]:[P2]])</f>
        <v>20.587427999999999</v>
      </c>
      <c r="N10" s="2">
        <f t="shared" si="0"/>
        <v>24.5056805</v>
      </c>
      <c r="O10" s="2">
        <f>AVERAGE(Table2[[#This Row],[P2]]:Table2[[#This Row],[P3]])</f>
        <v>14.0127335</v>
      </c>
      <c r="P10" s="2">
        <f>AVERAGE(Table2[[#This Row],[P1]],Table2[[#This Row],[P2]],Table2[[#This Row],[P3]])</f>
        <v>19.701947333333333</v>
      </c>
    </row>
    <row r="11" spans="2:16">
      <c r="B11" s="19" t="s">
        <v>245</v>
      </c>
      <c r="C11" s="2" t="s">
        <v>54</v>
      </c>
      <c r="D11" s="2">
        <v>27.407136999999999</v>
      </c>
      <c r="E11" s="2">
        <v>20.296095999999999</v>
      </c>
      <c r="F11" s="2">
        <f>AVERAGE(Table1[[#This Row],[P1]]:Table1[[#This Row],[P2]])</f>
        <v>23.851616499999999</v>
      </c>
      <c r="H11" t="s">
        <v>257</v>
      </c>
      <c r="I11" s="2" t="s">
        <v>154</v>
      </c>
      <c r="J11" s="2">
        <v>32.160544999999999</v>
      </c>
      <c r="K11" s="2">
        <v>19.296327000000002</v>
      </c>
      <c r="L11" s="2">
        <v>21.611886999999999</v>
      </c>
      <c r="M11" s="2">
        <f>AVERAGE(Table2[[#This Row],[P1]:[P2]])</f>
        <v>25.728436000000002</v>
      </c>
      <c r="N11" s="2">
        <f>AVERAGE(J11,L11)</f>
        <v>26.886215999999997</v>
      </c>
      <c r="O11" s="2">
        <f>AVERAGE(Table2[[#This Row],[P2]]:Table2[[#This Row],[P3]])</f>
        <v>20.454107</v>
      </c>
      <c r="P11" s="2">
        <f>AVERAGE(Table2[[#This Row],[P1]],Table2[[#This Row],[P2]],Table2[[#This Row],[P3]])</f>
        <v>24.356252999999999</v>
      </c>
    </row>
    <row r="12" spans="2:16">
      <c r="B12" s="21" t="s">
        <v>246</v>
      </c>
      <c r="C12" s="2" t="s">
        <v>157</v>
      </c>
      <c r="D12" s="2">
        <v>18.118190999999999</v>
      </c>
      <c r="E12" s="2">
        <v>35.347144999999998</v>
      </c>
      <c r="F12" s="2">
        <f>AVERAGE(Table1[[#This Row],[P1]]:Table1[[#This Row],[P2]])</f>
        <v>26.732667999999997</v>
      </c>
      <c r="H12" t="s">
        <v>256</v>
      </c>
      <c r="I12" s="2" t="s">
        <v>155</v>
      </c>
      <c r="J12" s="2">
        <v>15.797788000000001</v>
      </c>
      <c r="K12" s="2">
        <v>20.227074999999999</v>
      </c>
      <c r="L12" s="2">
        <v>18.307717</v>
      </c>
      <c r="M12" s="2">
        <f>AVERAGE(Table2[[#This Row],[P1]:[P2]])</f>
        <v>18.012431499999998</v>
      </c>
      <c r="N12" s="2">
        <f>AVERAGE(J12,L12)</f>
        <v>17.0527525</v>
      </c>
      <c r="O12" s="2">
        <f>AVERAGE(Table2[[#This Row],[P2]]:Table2[[#This Row],[P3]])</f>
        <v>19.267395999999998</v>
      </c>
      <c r="P12" s="2">
        <f>AVERAGE(Table2[[#This Row],[P1]],Table2[[#This Row],[P2]],Table2[[#This Row],[P3]])</f>
        <v>18.110859999999999</v>
      </c>
    </row>
    <row r="13" spans="2:16">
      <c r="D13" t="s">
        <v>91</v>
      </c>
      <c r="H13" t="s">
        <v>260</v>
      </c>
      <c r="I13" s="2" t="s">
        <v>156</v>
      </c>
      <c r="J13" s="2">
        <v>21.965651999999999</v>
      </c>
      <c r="K13" s="2">
        <v>14.677982999999999</v>
      </c>
      <c r="L13" s="2">
        <v>21.452435999999999</v>
      </c>
      <c r="M13" s="2">
        <f>AVERAGE(Table2[[#This Row],[P1]:[P2]])</f>
        <v>18.321817499999998</v>
      </c>
      <c r="N13" s="2">
        <f>AVERAGE(J13,L13)</f>
        <v>21.709043999999999</v>
      </c>
      <c r="O13" s="2">
        <f>AVERAGE(Table2[[#This Row],[P2]]:Table2[[#This Row],[P3]])</f>
        <v>18.065209499999998</v>
      </c>
      <c r="P13" s="2">
        <f>AVERAGE(Table2[[#This Row],[P1]],Table2[[#This Row],[P2]],Table2[[#This Row],[P3]])</f>
        <v>19.365356999999999</v>
      </c>
    </row>
    <row r="14" spans="2:16">
      <c r="D14">
        <f>CORREL(Table1[P1],Table1[P2])</f>
        <v>-9.2422075988005239E-2</v>
      </c>
      <c r="H14" t="s">
        <v>258</v>
      </c>
      <c r="I14" s="2" t="s">
        <v>158</v>
      </c>
      <c r="J14" s="2">
        <v>18.728362000000001</v>
      </c>
      <c r="K14" s="2">
        <v>28.883882</v>
      </c>
      <c r="L14" s="2">
        <v>17.541353000000001</v>
      </c>
      <c r="M14" s="2">
        <f>AVERAGE(Table2[[#This Row],[P1]:[P2]])</f>
        <v>23.806122000000002</v>
      </c>
      <c r="N14" s="2">
        <f>AVERAGE(J14,L14)</f>
        <v>18.134857500000003</v>
      </c>
      <c r="O14" s="2">
        <f>AVERAGE(Table2[[#This Row],[P2]]:Table2[[#This Row],[P3]])</f>
        <v>23.2126175</v>
      </c>
      <c r="P14" s="2">
        <f>AVERAGE(Table2[[#This Row],[P1]],Table2[[#This Row],[P2]],Table2[[#This Row],[P3]])</f>
        <v>21.717865666666668</v>
      </c>
    </row>
    <row r="15" spans="2:16">
      <c r="H15" t="s">
        <v>259</v>
      </c>
      <c r="I15" s="2" t="s">
        <v>159</v>
      </c>
      <c r="J15" s="2">
        <v>28.657671000000001</v>
      </c>
      <c r="K15" s="2">
        <v>20.567240000000002</v>
      </c>
      <c r="L15" s="2">
        <v>19.592489</v>
      </c>
      <c r="M15" s="2">
        <f>AVERAGE(Table2[[#This Row],[P1]:[P2]])</f>
        <v>24.612455500000003</v>
      </c>
      <c r="N15" s="2">
        <f>AVERAGE(J15,L15)</f>
        <v>24.125080000000001</v>
      </c>
      <c r="O15" s="2">
        <f>AVERAGE(Table2[[#This Row],[P2]]:Table2[[#This Row],[P3]])</f>
        <v>20.079864499999999</v>
      </c>
      <c r="P15" s="2">
        <f>AVERAGE(Table2[[#This Row],[P1]],Table2[[#This Row],[P2]],Table2[[#This Row],[P3]])</f>
        <v>22.939133333333334</v>
      </c>
    </row>
    <row r="24" spans="25:27">
      <c r="Y24" s="9"/>
      <c r="Z24" s="9"/>
      <c r="AA24" s="9"/>
    </row>
    <row r="34" spans="4:23">
      <c r="K34" s="9"/>
      <c r="L34" s="9"/>
      <c r="M34" s="9"/>
    </row>
    <row r="41" spans="4:23">
      <c r="U41" s="6"/>
    </row>
    <row r="42" spans="4:23">
      <c r="U42" s="5"/>
    </row>
    <row r="43" spans="4:23">
      <c r="U43" s="9"/>
      <c r="V43" s="9"/>
      <c r="W43" s="9"/>
    </row>
    <row r="47" spans="4:23">
      <c r="K47" t="s">
        <v>109</v>
      </c>
    </row>
    <row r="48" spans="4:23" ht="15.75" thickBot="1">
      <c r="D48">
        <v>2.4711409999999998</v>
      </c>
      <c r="E48">
        <v>30.938687999999999</v>
      </c>
      <c r="K48" s="5" t="s">
        <v>111</v>
      </c>
    </row>
    <row r="49" spans="4:23">
      <c r="D49">
        <v>32.792991000000001</v>
      </c>
      <c r="E49">
        <v>31.456980000000001</v>
      </c>
      <c r="K49" s="4"/>
      <c r="L49" s="4" t="s">
        <v>91</v>
      </c>
      <c r="M49" s="4" t="s">
        <v>139</v>
      </c>
    </row>
    <row r="50" spans="4:23">
      <c r="D50">
        <v>32.033904</v>
      </c>
      <c r="E50">
        <v>34.357607000000002</v>
      </c>
      <c r="K50" t="s">
        <v>99</v>
      </c>
      <c r="L50">
        <v>28.298797545454548</v>
      </c>
      <c r="M50">
        <v>19.796141166666668</v>
      </c>
    </row>
    <row r="51" spans="4:23">
      <c r="D51">
        <v>38.272494999999999</v>
      </c>
      <c r="E51">
        <v>39.090671999999998</v>
      </c>
      <c r="K51" t="s">
        <v>100</v>
      </c>
      <c r="L51">
        <v>72.672527710951542</v>
      </c>
      <c r="M51">
        <v>33.811604657717908</v>
      </c>
    </row>
    <row r="52" spans="4:23">
      <c r="D52">
        <v>17.652170000000002</v>
      </c>
      <c r="E52">
        <v>30.456852999999999</v>
      </c>
      <c r="K52" t="s">
        <v>101</v>
      </c>
      <c r="L52">
        <v>11</v>
      </c>
      <c r="M52">
        <v>14</v>
      </c>
    </row>
    <row r="53" spans="4:23">
      <c r="D53">
        <v>13.541086</v>
      </c>
      <c r="E53">
        <v>38.751725</v>
      </c>
      <c r="K53" t="s">
        <v>110</v>
      </c>
      <c r="L53">
        <v>50.707658159123838</v>
      </c>
    </row>
    <row r="54" spans="4:23">
      <c r="D54">
        <v>22.615593000000001</v>
      </c>
      <c r="E54">
        <v>41.354227999999999</v>
      </c>
      <c r="K54" t="s">
        <v>102</v>
      </c>
      <c r="L54">
        <v>0</v>
      </c>
    </row>
    <row r="55" spans="4:23">
      <c r="D55">
        <v>60.294035000000001</v>
      </c>
      <c r="E55">
        <v>25.324967000000001</v>
      </c>
      <c r="K55" t="s">
        <v>103</v>
      </c>
      <c r="L55">
        <v>23</v>
      </c>
    </row>
    <row r="56" spans="4:23">
      <c r="D56">
        <v>5.3683930000000002</v>
      </c>
      <c r="E56">
        <v>24.631449</v>
      </c>
      <c r="K56" t="s">
        <v>104</v>
      </c>
      <c r="L56">
        <v>2.9635223522981931</v>
      </c>
    </row>
    <row r="57" spans="4:23">
      <c r="D57">
        <v>27.407136999999999</v>
      </c>
      <c r="E57">
        <v>20.296095999999999</v>
      </c>
      <c r="K57" t="s">
        <v>105</v>
      </c>
      <c r="L57">
        <v>3.4803093563987269E-3</v>
      </c>
      <c r="U57" s="6"/>
    </row>
    <row r="58" spans="4:23">
      <c r="K58" t="s">
        <v>106</v>
      </c>
      <c r="L58">
        <v>1.7138715277470482</v>
      </c>
      <c r="U58" s="5"/>
    </row>
    <row r="59" spans="4:23">
      <c r="K59" t="s">
        <v>107</v>
      </c>
      <c r="L59" s="11">
        <v>6.9606187127974539E-3</v>
      </c>
      <c r="U59" s="9"/>
      <c r="V59" s="9"/>
      <c r="W59" s="9"/>
    </row>
    <row r="60" spans="4:23" ht="15.75" thickBot="1">
      <c r="K60" s="3" t="s">
        <v>108</v>
      </c>
      <c r="L60" s="3">
        <v>2.0686576104190491</v>
      </c>
      <c r="M60" s="3"/>
    </row>
    <row r="61" spans="4:23">
      <c r="D61">
        <v>26.732667999999997</v>
      </c>
      <c r="E61">
        <v>35.347144999999998</v>
      </c>
    </row>
    <row r="62" spans="4:23">
      <c r="D62">
        <v>2.4711409999999998</v>
      </c>
      <c r="E62">
        <v>30.938687999999999</v>
      </c>
    </row>
    <row r="63" spans="4:23">
      <c r="D63">
        <v>32.033904</v>
      </c>
      <c r="E63">
        <v>34.357607000000002</v>
      </c>
    </row>
    <row r="64" spans="4:23">
      <c r="D64">
        <v>31.456980000000001</v>
      </c>
      <c r="E64">
        <v>32.792991000000001</v>
      </c>
    </row>
    <row r="65" spans="4:6">
      <c r="D65">
        <v>38.272494999999999</v>
      </c>
      <c r="E65">
        <v>39.090671999999998</v>
      </c>
    </row>
    <row r="66" spans="4:6">
      <c r="D66">
        <v>17.652170000000002</v>
      </c>
      <c r="E66">
        <v>30.456852999999999</v>
      </c>
    </row>
    <row r="67" spans="4:6">
      <c r="D67">
        <v>13.541086</v>
      </c>
      <c r="E67">
        <v>38.751725</v>
      </c>
    </row>
    <row r="68" spans="4:6">
      <c r="D68">
        <v>22.615593000000001</v>
      </c>
      <c r="E68">
        <v>41.354227999999999</v>
      </c>
    </row>
    <row r="69" spans="4:6">
      <c r="D69">
        <v>25.324967000000001</v>
      </c>
      <c r="E69">
        <v>60.294035000000001</v>
      </c>
    </row>
    <row r="70" spans="4:6">
      <c r="D70">
        <v>5.3683930000000002</v>
      </c>
      <c r="E70">
        <v>24.631449</v>
      </c>
    </row>
    <row r="71" spans="4:6">
      <c r="D71">
        <v>20.296095999999999</v>
      </c>
      <c r="E71">
        <v>27.407136999999999</v>
      </c>
    </row>
    <row r="73" spans="4:6">
      <c r="D73" t="s">
        <v>112</v>
      </c>
      <c r="E73" t="s">
        <v>113</v>
      </c>
      <c r="F73" t="s">
        <v>114</v>
      </c>
    </row>
    <row r="74" spans="4:6">
      <c r="D74">
        <f>CORREL(D62:D71,E62:E71)</f>
        <v>0.37363996284209972</v>
      </c>
      <c r="E74">
        <f>D74^2</f>
        <v>0.13960682183264567</v>
      </c>
      <c r="F74">
        <v>0.28000000000000003</v>
      </c>
    </row>
    <row r="76" spans="4:6">
      <c r="D76" t="s">
        <v>115</v>
      </c>
    </row>
    <row r="77" spans="4:6" ht="15.75" thickBot="1"/>
    <row r="78" spans="4:6">
      <c r="D78" s="8" t="s">
        <v>116</v>
      </c>
      <c r="E78" s="8"/>
    </row>
    <row r="79" spans="4:6">
      <c r="D79" t="s">
        <v>117</v>
      </c>
      <c r="E79">
        <v>0.37363996284209949</v>
      </c>
    </row>
    <row r="80" spans="4:6">
      <c r="D80" t="s">
        <v>118</v>
      </c>
      <c r="E80">
        <v>0.1396068218326455</v>
      </c>
    </row>
    <row r="81" spans="4:17">
      <c r="D81" t="s">
        <v>119</v>
      </c>
      <c r="E81">
        <v>3.2057674561726202E-2</v>
      </c>
    </row>
    <row r="82" spans="4:17">
      <c r="D82" t="s">
        <v>120</v>
      </c>
      <c r="E82">
        <v>11.387177956721336</v>
      </c>
      <c r="O82" t="s">
        <v>160</v>
      </c>
    </row>
    <row r="83" spans="4:17" ht="15.75" thickBot="1">
      <c r="D83" s="3" t="s">
        <v>101</v>
      </c>
      <c r="E83" s="3">
        <v>10</v>
      </c>
    </row>
    <row r="84" spans="4:17">
      <c r="O84" s="4"/>
      <c r="P84" s="4" t="s">
        <v>97</v>
      </c>
      <c r="Q84" s="4" t="s">
        <v>98</v>
      </c>
    </row>
    <row r="85" spans="4:17" ht="15.75" thickBot="1">
      <c r="D85" t="s">
        <v>121</v>
      </c>
      <c r="O85" t="s">
        <v>99</v>
      </c>
      <c r="P85">
        <v>28.298797545454548</v>
      </c>
      <c r="Q85">
        <v>19.796141166666668</v>
      </c>
    </row>
    <row r="86" spans="4:17">
      <c r="D86" s="4"/>
      <c r="E86" s="4" t="s">
        <v>103</v>
      </c>
      <c r="F86" s="4" t="s">
        <v>126</v>
      </c>
      <c r="G86" s="4" t="s">
        <v>127</v>
      </c>
      <c r="H86" s="4" t="s">
        <v>128</v>
      </c>
      <c r="I86" s="4" t="s">
        <v>129</v>
      </c>
      <c r="O86" t="s">
        <v>100</v>
      </c>
      <c r="P86">
        <v>72.672527710951542</v>
      </c>
      <c r="Q86">
        <v>33.811604657717908</v>
      </c>
    </row>
    <row r="87" spans="4:17">
      <c r="D87" t="s">
        <v>122</v>
      </c>
      <c r="E87">
        <v>1</v>
      </c>
      <c r="F87">
        <v>168.31851258083566</v>
      </c>
      <c r="G87">
        <v>168.31851258083566</v>
      </c>
      <c r="H87">
        <v>1.2980746512194283</v>
      </c>
      <c r="I87">
        <v>0.28752818959490545</v>
      </c>
      <c r="O87" t="s">
        <v>101</v>
      </c>
      <c r="P87">
        <v>11</v>
      </c>
      <c r="Q87">
        <v>14</v>
      </c>
    </row>
    <row r="88" spans="4:17">
      <c r="D88" t="s">
        <v>123</v>
      </c>
      <c r="E88">
        <v>8</v>
      </c>
      <c r="F88">
        <v>1037.3425745443226</v>
      </c>
      <c r="G88">
        <v>129.66782181804032</v>
      </c>
      <c r="O88" t="s">
        <v>103</v>
      </c>
      <c r="P88">
        <v>10</v>
      </c>
      <c r="Q88">
        <v>13</v>
      </c>
    </row>
    <row r="89" spans="4:17" ht="15.75" thickBot="1">
      <c r="D89" s="3" t="s">
        <v>124</v>
      </c>
      <c r="E89" s="3">
        <v>9</v>
      </c>
      <c r="F89" s="3">
        <v>1205.6610871251582</v>
      </c>
      <c r="G89" s="3"/>
      <c r="H89" s="3"/>
      <c r="I89" s="3"/>
      <c r="O89" t="s">
        <v>128</v>
      </c>
      <c r="P89">
        <v>2.1493368459329587</v>
      </c>
    </row>
    <row r="90" spans="4:17" ht="15.75" thickBot="1">
      <c r="O90" t="s">
        <v>161</v>
      </c>
      <c r="P90">
        <v>9.843683670970256E-2</v>
      </c>
    </row>
    <row r="91" spans="4:17" ht="15.75" thickBot="1">
      <c r="D91" s="4"/>
      <c r="E91" s="4" t="s">
        <v>130</v>
      </c>
      <c r="F91" s="4" t="s">
        <v>120</v>
      </c>
      <c r="G91" s="4" t="s">
        <v>104</v>
      </c>
      <c r="H91" s="4" t="s">
        <v>131</v>
      </c>
      <c r="I91" s="4" t="s">
        <v>132</v>
      </c>
      <c r="J91" s="4" t="s">
        <v>133</v>
      </c>
      <c r="K91" s="4" t="s">
        <v>134</v>
      </c>
      <c r="L91" s="4" t="s">
        <v>135</v>
      </c>
      <c r="O91" s="3" t="s">
        <v>162</v>
      </c>
      <c r="P91" s="3">
        <v>2.671024228555126</v>
      </c>
      <c r="Q91" s="3"/>
    </row>
    <row r="92" spans="4:17">
      <c r="D92" t="s">
        <v>125</v>
      </c>
      <c r="E92">
        <v>5.4036584824827152</v>
      </c>
      <c r="F92">
        <v>14.072654641634324</v>
      </c>
      <c r="G92">
        <v>0.3839828817013563</v>
      </c>
      <c r="H92">
        <v>0.71099559982347749</v>
      </c>
      <c r="I92">
        <v>-27.047941314426151</v>
      </c>
      <c r="J92">
        <v>37.855258279391578</v>
      </c>
      <c r="K92">
        <v>-27.047941314426151</v>
      </c>
      <c r="L92">
        <v>37.855258279391578</v>
      </c>
    </row>
    <row r="93" spans="4:17" ht="15.75" thickBot="1">
      <c r="D93" s="3" t="s">
        <v>136</v>
      </c>
      <c r="E93" s="3">
        <v>0.43045497313062059</v>
      </c>
      <c r="F93" s="3">
        <v>0.3778138680598595</v>
      </c>
      <c r="G93" s="3">
        <v>1.1393307909555634</v>
      </c>
      <c r="H93" s="3">
        <v>0.28752818959490484</v>
      </c>
      <c r="I93" s="3">
        <v>-0.44078536895289705</v>
      </c>
      <c r="J93" s="3">
        <v>1.3016953152141382</v>
      </c>
      <c r="K93" s="3">
        <v>-0.44078536895289705</v>
      </c>
      <c r="L93" s="3">
        <v>1.3016953152141382</v>
      </c>
    </row>
    <row r="97" spans="4:35">
      <c r="D97" t="s">
        <v>115</v>
      </c>
    </row>
    <row r="98" spans="4:35" ht="15.75" thickBot="1"/>
    <row r="99" spans="4:35">
      <c r="D99" s="8" t="s">
        <v>116</v>
      </c>
      <c r="E99" s="8"/>
    </row>
    <row r="100" spans="4:35">
      <c r="D100" t="s">
        <v>117</v>
      </c>
      <c r="E100">
        <v>0.36556131816160797</v>
      </c>
    </row>
    <row r="101" spans="4:35">
      <c r="D101" t="s">
        <v>118</v>
      </c>
      <c r="E101">
        <v>0.13363507733605237</v>
      </c>
    </row>
    <row r="102" spans="4:35">
      <c r="D102" t="s">
        <v>119</v>
      </c>
      <c r="E102">
        <v>3.7372308151169306E-2</v>
      </c>
    </row>
    <row r="103" spans="4:35">
      <c r="D103" t="s">
        <v>120</v>
      </c>
      <c r="E103">
        <v>10.910273656348574</v>
      </c>
    </row>
    <row r="104" spans="4:35" ht="15.75" thickBot="1">
      <c r="D104" s="3" t="s">
        <v>101</v>
      </c>
      <c r="E104" s="3">
        <v>11</v>
      </c>
    </row>
    <row r="106" spans="4:35" ht="15.75" thickBot="1">
      <c r="D106" t="s">
        <v>121</v>
      </c>
    </row>
    <row r="107" spans="4:35">
      <c r="D107" s="4"/>
      <c r="E107" s="4" t="s">
        <v>103</v>
      </c>
      <c r="F107" s="4" t="s">
        <v>126</v>
      </c>
      <c r="G107" s="4" t="s">
        <v>127</v>
      </c>
      <c r="H107" s="4" t="s">
        <v>128</v>
      </c>
      <c r="I107" s="4" t="s">
        <v>129</v>
      </c>
    </row>
    <row r="108" spans="4:35">
      <c r="D108" t="s">
        <v>122</v>
      </c>
      <c r="E108">
        <v>1</v>
      </c>
      <c r="F108">
        <v>165.24693246071752</v>
      </c>
      <c r="G108">
        <v>165.24693246071752</v>
      </c>
      <c r="H108">
        <v>1.3882322155037088</v>
      </c>
      <c r="I108">
        <v>0.26891717148188249</v>
      </c>
    </row>
    <row r="109" spans="4:35">
      <c r="D109" t="s">
        <v>123</v>
      </c>
      <c r="E109">
        <v>9</v>
      </c>
      <c r="F109">
        <v>1071.3066413077231</v>
      </c>
      <c r="G109">
        <v>119.03407125641368</v>
      </c>
    </row>
    <row r="110" spans="4:35" ht="15.75" thickBot="1">
      <c r="D110" s="3" t="s">
        <v>124</v>
      </c>
      <c r="E110" s="3">
        <v>10</v>
      </c>
      <c r="F110" s="3">
        <v>1236.5535737684406</v>
      </c>
      <c r="G110" s="3"/>
      <c r="H110" s="3"/>
      <c r="I110" s="3"/>
      <c r="AG110" t="s">
        <v>115</v>
      </c>
      <c r="AI110" s="6" t="s">
        <v>198</v>
      </c>
    </row>
    <row r="111" spans="4:35" ht="15.75" thickBot="1"/>
    <row r="112" spans="4:35">
      <c r="D112" s="4"/>
      <c r="E112" s="4" t="s">
        <v>130</v>
      </c>
      <c r="F112" s="4" t="s">
        <v>120</v>
      </c>
      <c r="G112" s="4" t="s">
        <v>104</v>
      </c>
      <c r="H112" s="4" t="s">
        <v>131</v>
      </c>
      <c r="I112" s="4" t="s">
        <v>132</v>
      </c>
      <c r="J112" s="4" t="s">
        <v>133</v>
      </c>
      <c r="K112" s="4" t="s">
        <v>134</v>
      </c>
      <c r="L112" s="4" t="s">
        <v>135</v>
      </c>
      <c r="AG112" s="8" t="s">
        <v>116</v>
      </c>
      <c r="AH112" s="8"/>
    </row>
    <row r="113" spans="4:41">
      <c r="D113" t="s">
        <v>125</v>
      </c>
      <c r="E113">
        <v>6.1046276707605944</v>
      </c>
      <c r="F113">
        <v>13.419269180023679</v>
      </c>
      <c r="G113">
        <v>0.45491506198028453</v>
      </c>
      <c r="H113">
        <v>0.65994487461269657</v>
      </c>
      <c r="I113">
        <v>-24.25186822434717</v>
      </c>
      <c r="J113">
        <v>36.461123565868363</v>
      </c>
      <c r="K113">
        <v>-24.25186822434717</v>
      </c>
      <c r="L113">
        <v>36.461123565868363</v>
      </c>
      <c r="AG113" t="s">
        <v>117</v>
      </c>
      <c r="AH113">
        <v>0.55522926444419129</v>
      </c>
    </row>
    <row r="114" spans="4:41" ht="15.75" thickBot="1">
      <c r="D114" s="3" t="s">
        <v>136</v>
      </c>
      <c r="E114" s="3">
        <v>0.42641624042422033</v>
      </c>
      <c r="F114" s="3">
        <v>0.36191174518166136</v>
      </c>
      <c r="G114" s="3">
        <v>1.1782326661163787</v>
      </c>
      <c r="H114" s="3">
        <v>0.26891717148188271</v>
      </c>
      <c r="I114" s="3">
        <v>-0.39228500623927376</v>
      </c>
      <c r="J114" s="3">
        <v>1.2451174870877144</v>
      </c>
      <c r="K114" s="3">
        <v>-0.39228500623927376</v>
      </c>
      <c r="L114" s="3">
        <v>1.2451174870877144</v>
      </c>
      <c r="AG114" t="s">
        <v>118</v>
      </c>
      <c r="AH114">
        <v>0.30827953609523767</v>
      </c>
    </row>
    <row r="115" spans="4:41">
      <c r="AG115" t="s">
        <v>119</v>
      </c>
      <c r="AH115">
        <v>0.25063616410317419</v>
      </c>
    </row>
    <row r="116" spans="4:41">
      <c r="AG116" t="s">
        <v>120</v>
      </c>
      <c r="AH116">
        <v>4.505428874124374</v>
      </c>
    </row>
    <row r="117" spans="4:41" ht="15.75" thickBot="1">
      <c r="AG117" s="3" t="s">
        <v>101</v>
      </c>
      <c r="AH117" s="3">
        <v>14</v>
      </c>
    </row>
    <row r="119" spans="4:41" ht="15.75" thickBot="1">
      <c r="T119" s="6" t="s">
        <v>88</v>
      </c>
      <c r="U119" s="6" t="s">
        <v>89</v>
      </c>
      <c r="V119" s="6" t="s">
        <v>90</v>
      </c>
      <c r="AG119" t="s">
        <v>121</v>
      </c>
    </row>
    <row r="120" spans="4:41">
      <c r="T120">
        <v>13.27946</v>
      </c>
      <c r="U120">
        <v>26.720863999999999</v>
      </c>
      <c r="V120">
        <v>36.113652999999999</v>
      </c>
      <c r="AG120" s="4"/>
      <c r="AH120" s="4" t="s">
        <v>103</v>
      </c>
      <c r="AI120" s="4" t="s">
        <v>126</v>
      </c>
      <c r="AJ120" s="4" t="s">
        <v>127</v>
      </c>
      <c r="AK120" s="4" t="s">
        <v>128</v>
      </c>
      <c r="AL120" s="14" t="s">
        <v>129</v>
      </c>
    </row>
    <row r="121" spans="4:41">
      <c r="T121">
        <v>14.655714</v>
      </c>
      <c r="U121">
        <v>18.098331000000002</v>
      </c>
      <c r="V121">
        <v>29.803229999999999</v>
      </c>
      <c r="AG121" t="s">
        <v>122</v>
      </c>
      <c r="AH121">
        <v>1</v>
      </c>
      <c r="AI121">
        <v>108.55944009975204</v>
      </c>
      <c r="AJ121">
        <v>108.55944009975204</v>
      </c>
      <c r="AK121">
        <v>5.3480482740961506</v>
      </c>
      <c r="AL121" s="6">
        <v>3.9291762492268782E-2</v>
      </c>
    </row>
    <row r="122" spans="4:41">
      <c r="T122">
        <v>2.2134100000000001</v>
      </c>
      <c r="U122">
        <v>11.462300000000001</v>
      </c>
      <c r="V122">
        <v>22.608398000000001</v>
      </c>
      <c r="AG122" t="s">
        <v>123</v>
      </c>
      <c r="AH122">
        <v>12</v>
      </c>
      <c r="AI122">
        <v>243.5866720775235</v>
      </c>
      <c r="AJ122">
        <v>20.298889339793625</v>
      </c>
    </row>
    <row r="123" spans="4:41" ht="15.75" thickBot="1">
      <c r="T123">
        <v>7.7812380000000001</v>
      </c>
      <c r="U123">
        <v>24.187462</v>
      </c>
      <c r="V123">
        <v>58.124909000000002</v>
      </c>
      <c r="AG123" s="3" t="s">
        <v>124</v>
      </c>
      <c r="AH123" s="3">
        <v>13</v>
      </c>
      <c r="AI123" s="3">
        <v>352.14611217727554</v>
      </c>
      <c r="AJ123" s="3"/>
      <c r="AK123" s="3"/>
      <c r="AL123" s="3"/>
    </row>
    <row r="124" spans="4:41" ht="15.75" thickBot="1">
      <c r="T124">
        <v>8.8605520000000002</v>
      </c>
      <c r="U124">
        <v>13.098208</v>
      </c>
      <c r="V124">
        <v>23.981276999999999</v>
      </c>
    </row>
    <row r="125" spans="4:41">
      <c r="T125">
        <v>6.4825799999999996</v>
      </c>
      <c r="U125">
        <v>9.9307610000000004</v>
      </c>
      <c r="V125">
        <v>10.206614999999999</v>
      </c>
      <c r="AG125" s="4"/>
      <c r="AH125" s="4" t="s">
        <v>130</v>
      </c>
      <c r="AI125" s="4" t="s">
        <v>120</v>
      </c>
      <c r="AJ125" s="4" t="s">
        <v>104</v>
      </c>
      <c r="AK125" s="4" t="s">
        <v>131</v>
      </c>
      <c r="AL125" s="4" t="s">
        <v>132</v>
      </c>
      <c r="AM125" s="4" t="s">
        <v>133</v>
      </c>
      <c r="AN125" s="4" t="s">
        <v>134</v>
      </c>
      <c r="AO125" s="4" t="s">
        <v>135</v>
      </c>
    </row>
    <row r="126" spans="4:41">
      <c r="T126">
        <v>7.4210529999999997</v>
      </c>
      <c r="U126">
        <v>14.210526</v>
      </c>
      <c r="V126">
        <v>18.789473999999998</v>
      </c>
      <c r="AG126" t="s">
        <v>125</v>
      </c>
      <c r="AH126">
        <v>1.96225130828822</v>
      </c>
      <c r="AI126">
        <v>4.6027306111102844</v>
      </c>
      <c r="AJ126">
        <v>0.42632330111861139</v>
      </c>
      <c r="AK126">
        <v>0.67741986300536028</v>
      </c>
      <c r="AL126">
        <v>-8.06623719870095</v>
      </c>
      <c r="AM126">
        <v>11.99073981527739</v>
      </c>
      <c r="AN126">
        <v>-8.06623719870095</v>
      </c>
      <c r="AO126">
        <v>11.99073981527739</v>
      </c>
    </row>
    <row r="127" spans="4:41" ht="15.75" thickBot="1">
      <c r="T127">
        <v>13.606121</v>
      </c>
      <c r="U127">
        <v>26.940118999999999</v>
      </c>
      <c r="V127">
        <v>34.287424999999999</v>
      </c>
      <c r="X127" s="6"/>
      <c r="AG127" s="3" t="s">
        <v>136</v>
      </c>
      <c r="AH127" s="3">
        <v>0.54636490428133633</v>
      </c>
      <c r="AI127" s="3">
        <v>0.23625724498144463</v>
      </c>
      <c r="AJ127" s="3">
        <v>2.3125847604133671</v>
      </c>
      <c r="AK127" s="3">
        <v>3.9291762492268782E-2</v>
      </c>
      <c r="AL127" s="3">
        <v>3.1604587813931384E-2</v>
      </c>
      <c r="AM127" s="3">
        <v>1.0611252207487412</v>
      </c>
      <c r="AN127" s="3">
        <v>3.1604587813931384E-2</v>
      </c>
      <c r="AO127" s="3">
        <v>1.0611252207487412</v>
      </c>
    </row>
    <row r="128" spans="4:41">
      <c r="T128">
        <v>10.094481</v>
      </c>
      <c r="U128">
        <v>17.930986000000001</v>
      </c>
      <c r="V128">
        <v>31.080375</v>
      </c>
    </row>
    <row r="129" spans="2:38">
      <c r="T129">
        <v>19.296327000000002</v>
      </c>
      <c r="U129">
        <v>21.611886999999999</v>
      </c>
      <c r="V129">
        <v>32.160544999999999</v>
      </c>
    </row>
    <row r="130" spans="2:38">
      <c r="T130">
        <v>15.797788000000001</v>
      </c>
      <c r="U130">
        <v>18.307717</v>
      </c>
      <c r="V130">
        <v>20.227074999999999</v>
      </c>
      <c r="AG130" t="s">
        <v>115</v>
      </c>
    </row>
    <row r="131" spans="2:38" ht="15.75" thickBot="1">
      <c r="T131">
        <v>14.677982999999999</v>
      </c>
      <c r="U131">
        <v>21.452435999999999</v>
      </c>
      <c r="V131">
        <v>21.965651999999999</v>
      </c>
    </row>
    <row r="132" spans="2:38">
      <c r="T132">
        <v>17.541353000000001</v>
      </c>
      <c r="U132">
        <v>18.728362000000001</v>
      </c>
      <c r="V132">
        <v>28.883882</v>
      </c>
      <c r="AG132" s="8" t="s">
        <v>116</v>
      </c>
      <c r="AH132" s="8"/>
    </row>
    <row r="133" spans="2:38">
      <c r="B133" s="23" t="s">
        <v>261</v>
      </c>
      <c r="T133">
        <v>19.592489</v>
      </c>
      <c r="U133">
        <v>20.567240000000002</v>
      </c>
      <c r="V133">
        <v>28.657671000000001</v>
      </c>
      <c r="AG133" t="s">
        <v>117</v>
      </c>
      <c r="AH133">
        <v>0.12237744065125283</v>
      </c>
    </row>
    <row r="134" spans="2:38">
      <c r="AG134" t="s">
        <v>118</v>
      </c>
      <c r="AH134">
        <v>1.4976237980350908E-2</v>
      </c>
    </row>
    <row r="135" spans="2:38">
      <c r="B135" t="s">
        <v>273</v>
      </c>
      <c r="C135" t="s">
        <v>0</v>
      </c>
      <c r="D135" t="s">
        <v>262</v>
      </c>
      <c r="E135" t="s">
        <v>88</v>
      </c>
      <c r="F135" t="s">
        <v>263</v>
      </c>
      <c r="G135" t="s">
        <v>89</v>
      </c>
      <c r="K135" t="s">
        <v>235</v>
      </c>
      <c r="L135" t="s">
        <v>0</v>
      </c>
      <c r="M135" t="s">
        <v>262</v>
      </c>
      <c r="N135" t="s">
        <v>88</v>
      </c>
      <c r="O135" t="s">
        <v>263</v>
      </c>
      <c r="P135" t="s">
        <v>89</v>
      </c>
      <c r="Q135" t="s">
        <v>264</v>
      </c>
      <c r="R135" t="s">
        <v>90</v>
      </c>
      <c r="AG135" t="s">
        <v>119</v>
      </c>
      <c r="AH135">
        <v>-6.7109075521286518E-2</v>
      </c>
    </row>
    <row r="136" spans="2:38">
      <c r="B136" t="s">
        <v>236</v>
      </c>
      <c r="C136" t="s">
        <v>65</v>
      </c>
      <c r="D136" t="s">
        <v>128</v>
      </c>
      <c r="E136">
        <v>2.4711409999999998</v>
      </c>
      <c r="F136" t="s">
        <v>128</v>
      </c>
      <c r="G136">
        <v>30.938687999999999</v>
      </c>
      <c r="K136" t="s">
        <v>247</v>
      </c>
      <c r="L136" s="2" t="s">
        <v>66</v>
      </c>
      <c r="M136" t="s">
        <v>128</v>
      </c>
      <c r="N136" s="2">
        <v>13.27946</v>
      </c>
      <c r="O136" t="s">
        <v>170</v>
      </c>
      <c r="P136" s="2">
        <v>26.720863999999999</v>
      </c>
      <c r="Q136" t="s">
        <v>128</v>
      </c>
      <c r="R136" s="2">
        <v>36.113652999999999</v>
      </c>
      <c r="AG136" t="s">
        <v>120</v>
      </c>
      <c r="AH136">
        <v>5.3764322758177139</v>
      </c>
    </row>
    <row r="137" spans="2:38" ht="15.75" thickBot="1">
      <c r="B137" t="s">
        <v>237</v>
      </c>
      <c r="C137" t="s">
        <v>64</v>
      </c>
      <c r="D137" t="s">
        <v>170</v>
      </c>
      <c r="E137">
        <v>32.792991000000001</v>
      </c>
      <c r="F137" t="s">
        <v>128</v>
      </c>
      <c r="G137">
        <v>31.456980000000001</v>
      </c>
      <c r="K137" t="s">
        <v>249</v>
      </c>
      <c r="L137" s="2" t="s">
        <v>68</v>
      </c>
      <c r="M137" t="s">
        <v>128</v>
      </c>
      <c r="N137" s="2">
        <v>18.098331000000002</v>
      </c>
      <c r="O137" t="s">
        <v>128</v>
      </c>
      <c r="P137" s="2">
        <v>29.803229999999999</v>
      </c>
      <c r="Q137" t="s">
        <v>128</v>
      </c>
      <c r="R137" s="2">
        <v>14.655714</v>
      </c>
      <c r="AG137" s="3" t="s">
        <v>101</v>
      </c>
      <c r="AH137" s="3">
        <v>14</v>
      </c>
    </row>
    <row r="138" spans="2:38">
      <c r="B138" t="s">
        <v>238</v>
      </c>
      <c r="C138" t="s">
        <v>62</v>
      </c>
      <c r="D138" t="s">
        <v>128</v>
      </c>
      <c r="E138">
        <v>32.033904</v>
      </c>
      <c r="F138" t="s">
        <v>128</v>
      </c>
      <c r="G138">
        <v>34.357607000000002</v>
      </c>
      <c r="K138" t="s">
        <v>250</v>
      </c>
      <c r="L138" s="2" t="s">
        <v>69</v>
      </c>
      <c r="M138" t="s">
        <v>128</v>
      </c>
      <c r="N138" s="7">
        <v>2.2134100000000001</v>
      </c>
      <c r="O138" t="s">
        <v>170</v>
      </c>
      <c r="P138" s="2">
        <v>11.462300000000001</v>
      </c>
      <c r="Q138" t="s">
        <v>128</v>
      </c>
      <c r="R138" s="2">
        <v>22.608398000000001</v>
      </c>
    </row>
    <row r="139" spans="2:38" ht="15.75" thickBot="1">
      <c r="B139" t="s">
        <v>239</v>
      </c>
      <c r="C139" t="s">
        <v>61</v>
      </c>
      <c r="D139" t="s">
        <v>128</v>
      </c>
      <c r="E139">
        <v>38.272494999999999</v>
      </c>
      <c r="F139" t="s">
        <v>128</v>
      </c>
      <c r="G139">
        <v>39.090671999999998</v>
      </c>
      <c r="K139" t="s">
        <v>251</v>
      </c>
      <c r="L139" s="2" t="s">
        <v>70</v>
      </c>
      <c r="M139" t="s">
        <v>128</v>
      </c>
      <c r="N139" s="2">
        <v>24.187462</v>
      </c>
      <c r="O139" t="s">
        <v>128</v>
      </c>
      <c r="P139" s="2">
        <v>7.7812380000000001</v>
      </c>
      <c r="Q139" t="s">
        <v>128</v>
      </c>
      <c r="R139" s="7">
        <v>58.124909000000002</v>
      </c>
      <c r="AG139" t="s">
        <v>121</v>
      </c>
    </row>
    <row r="140" spans="2:38">
      <c r="B140" t="s">
        <v>240</v>
      </c>
      <c r="C140" t="s">
        <v>59</v>
      </c>
      <c r="D140" t="s">
        <v>170</v>
      </c>
      <c r="E140">
        <v>17.652170000000002</v>
      </c>
      <c r="F140" t="s">
        <v>170</v>
      </c>
      <c r="G140">
        <v>30.456852999999999</v>
      </c>
      <c r="K140" t="s">
        <v>252</v>
      </c>
      <c r="L140" s="2" t="s">
        <v>71</v>
      </c>
      <c r="M140" t="s">
        <v>128</v>
      </c>
      <c r="N140" s="2">
        <v>13.098208</v>
      </c>
      <c r="O140" t="s">
        <v>128</v>
      </c>
      <c r="P140" s="2">
        <v>8.8605520000000002</v>
      </c>
      <c r="Q140" t="s">
        <v>128</v>
      </c>
      <c r="R140" s="2">
        <v>23.981276999999999</v>
      </c>
      <c r="AG140" s="4"/>
      <c r="AH140" s="4" t="s">
        <v>103</v>
      </c>
      <c r="AI140" s="4" t="s">
        <v>126</v>
      </c>
      <c r="AJ140" s="4" t="s">
        <v>127</v>
      </c>
      <c r="AK140" s="4" t="s">
        <v>128</v>
      </c>
      <c r="AL140" s="4" t="s">
        <v>129</v>
      </c>
    </row>
    <row r="141" spans="2:38">
      <c r="B141" t="s">
        <v>241</v>
      </c>
      <c r="C141" t="s">
        <v>58</v>
      </c>
      <c r="D141" t="s">
        <v>170</v>
      </c>
      <c r="E141">
        <v>13.541086</v>
      </c>
      <c r="F141" t="s">
        <v>128</v>
      </c>
      <c r="G141">
        <v>38.751725</v>
      </c>
      <c r="K141" t="s">
        <v>253</v>
      </c>
      <c r="L141" s="2" t="s">
        <v>73</v>
      </c>
      <c r="M141" t="s">
        <v>128</v>
      </c>
      <c r="N141" s="2">
        <v>9.9307610000000004</v>
      </c>
      <c r="O141" t="s">
        <v>128</v>
      </c>
      <c r="P141" s="2">
        <v>10.206614999999999</v>
      </c>
      <c r="Q141" t="s">
        <v>128</v>
      </c>
      <c r="R141" s="2">
        <v>6.4825799999999996</v>
      </c>
      <c r="AG141" t="s">
        <v>122</v>
      </c>
      <c r="AH141">
        <v>1</v>
      </c>
      <c r="AI141">
        <v>5.2738239798222253</v>
      </c>
      <c r="AJ141">
        <v>5.2738239798222253</v>
      </c>
      <c r="AK141">
        <v>0.1824472288828155</v>
      </c>
      <c r="AL141">
        <v>0.67684228954421721</v>
      </c>
    </row>
    <row r="142" spans="2:38">
      <c r="B142" t="s">
        <v>242</v>
      </c>
      <c r="C142" t="s">
        <v>57</v>
      </c>
      <c r="D142" t="s">
        <v>170</v>
      </c>
      <c r="E142">
        <v>22.615593000000001</v>
      </c>
      <c r="F142" t="s">
        <v>170</v>
      </c>
      <c r="G142">
        <v>41.354227999999999</v>
      </c>
      <c r="K142" t="s">
        <v>254</v>
      </c>
      <c r="L142" s="2" t="s">
        <v>74</v>
      </c>
      <c r="M142" t="s">
        <v>128</v>
      </c>
      <c r="N142" s="2">
        <v>18.789473999999998</v>
      </c>
      <c r="O142" t="s">
        <v>170</v>
      </c>
      <c r="P142" s="2">
        <v>14.210526</v>
      </c>
      <c r="Q142" t="s">
        <v>128</v>
      </c>
      <c r="R142" s="2">
        <v>7.4210529999999997</v>
      </c>
      <c r="AG142" t="s">
        <v>123</v>
      </c>
      <c r="AH142">
        <v>12</v>
      </c>
      <c r="AI142">
        <v>346.87228819745332</v>
      </c>
      <c r="AJ142">
        <v>28.906024016454442</v>
      </c>
    </row>
    <row r="143" spans="2:38" ht="15.75" thickBot="1">
      <c r="B143" t="s">
        <v>243</v>
      </c>
      <c r="C143" t="s">
        <v>56</v>
      </c>
      <c r="D143" t="s">
        <v>170</v>
      </c>
      <c r="E143">
        <v>60.294035000000001</v>
      </c>
      <c r="F143" t="s">
        <v>128</v>
      </c>
      <c r="G143">
        <v>25.324967000000001</v>
      </c>
      <c r="K143" t="s">
        <v>255</v>
      </c>
      <c r="L143" s="2" t="s">
        <v>75</v>
      </c>
      <c r="M143" t="s">
        <v>128</v>
      </c>
      <c r="N143" s="2">
        <v>13.606121</v>
      </c>
      <c r="O143" t="s">
        <v>128</v>
      </c>
      <c r="P143" s="2">
        <v>26.940118999999999</v>
      </c>
      <c r="Q143" t="s">
        <v>128</v>
      </c>
      <c r="R143" s="2">
        <v>34.287424999999999</v>
      </c>
      <c r="AG143" s="3" t="s">
        <v>124</v>
      </c>
      <c r="AH143" s="3">
        <v>13</v>
      </c>
      <c r="AI143" s="3">
        <v>352.14611217727554</v>
      </c>
      <c r="AJ143" s="3"/>
      <c r="AK143" s="3"/>
      <c r="AL143" s="3"/>
    </row>
    <row r="144" spans="2:38" ht="15.75" thickBot="1">
      <c r="B144" t="s">
        <v>244</v>
      </c>
      <c r="C144" t="s">
        <v>55</v>
      </c>
      <c r="D144" t="s">
        <v>128</v>
      </c>
      <c r="E144">
        <v>5.3683930000000002</v>
      </c>
      <c r="F144" t="s">
        <v>128</v>
      </c>
      <c r="G144">
        <v>24.631449</v>
      </c>
      <c r="K144" t="s">
        <v>248</v>
      </c>
      <c r="L144" s="2" t="s">
        <v>49</v>
      </c>
      <c r="M144" t="s">
        <v>128</v>
      </c>
      <c r="N144" s="2">
        <v>31.080375</v>
      </c>
      <c r="O144" t="s">
        <v>170</v>
      </c>
      <c r="P144" s="2">
        <v>10.094481</v>
      </c>
      <c r="Q144" t="s">
        <v>128</v>
      </c>
      <c r="R144" s="2">
        <v>17.930986000000001</v>
      </c>
    </row>
    <row r="145" spans="2:41">
      <c r="B145" t="s">
        <v>245</v>
      </c>
      <c r="C145" t="s">
        <v>54</v>
      </c>
      <c r="D145" t="s">
        <v>170</v>
      </c>
      <c r="E145">
        <v>27.407136999999999</v>
      </c>
      <c r="F145" t="s">
        <v>170</v>
      </c>
      <c r="G145">
        <v>20.296095999999999</v>
      </c>
      <c r="K145" t="s">
        <v>257</v>
      </c>
      <c r="L145" s="2" t="s">
        <v>154</v>
      </c>
      <c r="M145" t="s">
        <v>170</v>
      </c>
      <c r="N145" s="2">
        <v>32.160544999999999</v>
      </c>
      <c r="O145" t="s">
        <v>128</v>
      </c>
      <c r="P145" s="2">
        <v>19.296327000000002</v>
      </c>
      <c r="Q145" t="s">
        <v>128</v>
      </c>
      <c r="R145" s="2">
        <v>21.611886999999999</v>
      </c>
      <c r="AG145" s="4"/>
      <c r="AH145" s="4" t="s">
        <v>130</v>
      </c>
      <c r="AI145" s="4" t="s">
        <v>120</v>
      </c>
      <c r="AJ145" s="4" t="s">
        <v>104</v>
      </c>
      <c r="AK145" s="4" t="s">
        <v>131</v>
      </c>
      <c r="AL145" s="4" t="s">
        <v>132</v>
      </c>
      <c r="AM145" s="4" t="s">
        <v>133</v>
      </c>
      <c r="AN145" s="4" t="s">
        <v>134</v>
      </c>
      <c r="AO145" s="4" t="s">
        <v>135</v>
      </c>
    </row>
    <row r="146" spans="2:41">
      <c r="B146" t="s">
        <v>246</v>
      </c>
      <c r="C146" t="s">
        <v>157</v>
      </c>
      <c r="D146" t="s">
        <v>170</v>
      </c>
      <c r="E146">
        <v>18.118190999999999</v>
      </c>
      <c r="F146" t="s">
        <v>170</v>
      </c>
      <c r="G146">
        <v>35.347144999999998</v>
      </c>
      <c r="K146" t="s">
        <v>256</v>
      </c>
      <c r="L146" s="2" t="s">
        <v>155</v>
      </c>
      <c r="M146" t="s">
        <v>170</v>
      </c>
      <c r="N146" s="2">
        <v>15.797788000000001</v>
      </c>
      <c r="O146" t="s">
        <v>170</v>
      </c>
      <c r="P146" s="2">
        <v>20.227074999999999</v>
      </c>
      <c r="Q146" t="s">
        <v>128</v>
      </c>
      <c r="R146" s="2">
        <v>18.307717</v>
      </c>
      <c r="AG146" t="s">
        <v>125</v>
      </c>
      <c r="AH146">
        <v>10.600953439555264</v>
      </c>
      <c r="AI146">
        <v>4.0881753464334878</v>
      </c>
      <c r="AJ146">
        <v>2.5930769943132463</v>
      </c>
      <c r="AK146">
        <v>2.3524151066568539E-2</v>
      </c>
      <c r="AL146">
        <v>1.6935845448167139</v>
      </c>
      <c r="AM146">
        <v>19.508322334293815</v>
      </c>
      <c r="AN146">
        <v>1.6935845448167139</v>
      </c>
      <c r="AO146">
        <v>19.508322334293815</v>
      </c>
    </row>
    <row r="147" spans="2:41" ht="15.75" thickBot="1">
      <c r="K147" t="s">
        <v>260</v>
      </c>
      <c r="L147" s="2" t="s">
        <v>156</v>
      </c>
      <c r="M147" t="s">
        <v>128</v>
      </c>
      <c r="N147" s="2">
        <v>21.965651999999999</v>
      </c>
      <c r="O147" t="s">
        <v>128</v>
      </c>
      <c r="P147" s="2">
        <v>14.677982999999999</v>
      </c>
      <c r="Q147" t="s">
        <v>170</v>
      </c>
      <c r="R147" s="2">
        <v>21.452435999999999</v>
      </c>
      <c r="AG147" s="3" t="s">
        <v>136</v>
      </c>
      <c r="AH147" s="3">
        <v>5.7666331750913999E-2</v>
      </c>
      <c r="AI147" s="3">
        <v>0.1350061928453978</v>
      </c>
      <c r="AJ147" s="3">
        <v>0.42713841887942533</v>
      </c>
      <c r="AK147" s="3">
        <v>0.67684228954421743</v>
      </c>
      <c r="AL147" s="3">
        <v>-0.2364868933051667</v>
      </c>
      <c r="AM147" s="3">
        <v>0.35181955680699473</v>
      </c>
      <c r="AN147" s="3">
        <v>-0.2364868933051667</v>
      </c>
      <c r="AO147" s="3">
        <v>0.35181955680699473</v>
      </c>
    </row>
    <row r="148" spans="2:41">
      <c r="K148" t="s">
        <v>258</v>
      </c>
      <c r="L148" s="2" t="s">
        <v>158</v>
      </c>
      <c r="M148" t="s">
        <v>170</v>
      </c>
      <c r="N148" s="2">
        <v>18.728362000000001</v>
      </c>
      <c r="O148" t="s">
        <v>170</v>
      </c>
      <c r="P148" s="2">
        <v>28.883882</v>
      </c>
      <c r="Q148" t="s">
        <v>170</v>
      </c>
      <c r="R148" s="2">
        <v>17.541353000000001</v>
      </c>
    </row>
    <row r="149" spans="2:41">
      <c r="K149" t="s">
        <v>259</v>
      </c>
      <c r="L149" s="2" t="s">
        <v>159</v>
      </c>
      <c r="M149" t="s">
        <v>128</v>
      </c>
      <c r="N149" s="2">
        <v>28.657671000000001</v>
      </c>
      <c r="O149" t="s">
        <v>128</v>
      </c>
      <c r="P149" s="2">
        <v>20.567240000000002</v>
      </c>
      <c r="Q149" t="s">
        <v>170</v>
      </c>
      <c r="R149" s="2">
        <v>19.592489</v>
      </c>
    </row>
    <row r="150" spans="2:41">
      <c r="B150" s="18" t="s">
        <v>273</v>
      </c>
      <c r="C150" s="18" t="s">
        <v>270</v>
      </c>
      <c r="D150" t="s">
        <v>274</v>
      </c>
      <c r="F150" s="24" t="s">
        <v>268</v>
      </c>
      <c r="G150" t="s">
        <v>275</v>
      </c>
      <c r="AG150" t="s">
        <v>115</v>
      </c>
    </row>
    <row r="151" spans="2:41" ht="15.75" thickBot="1">
      <c r="B151" t="s">
        <v>236</v>
      </c>
      <c r="C151" t="s">
        <v>128</v>
      </c>
      <c r="D151">
        <v>2.4711409999999998</v>
      </c>
      <c r="F151" s="25" t="s">
        <v>128</v>
      </c>
      <c r="G151" s="37">
        <v>27.518001909090909</v>
      </c>
    </row>
    <row r="152" spans="2:41">
      <c r="B152" t="s">
        <v>238</v>
      </c>
      <c r="C152" t="s">
        <v>128</v>
      </c>
      <c r="D152">
        <v>32.033904</v>
      </c>
      <c r="F152" s="25" t="s">
        <v>170</v>
      </c>
      <c r="G152" s="37">
        <v>29.079593181818179</v>
      </c>
      <c r="AG152" s="8" t="s">
        <v>116</v>
      </c>
      <c r="AH152" s="8"/>
    </row>
    <row r="153" spans="2:41">
      <c r="B153" t="s">
        <v>239</v>
      </c>
      <c r="C153" t="s">
        <v>128</v>
      </c>
      <c r="D153">
        <v>38.272494999999999</v>
      </c>
      <c r="F153" s="25" t="s">
        <v>269</v>
      </c>
      <c r="G153" s="37">
        <v>28.298797545454544</v>
      </c>
      <c r="AG153" t="s">
        <v>117</v>
      </c>
      <c r="AH153">
        <v>0.70705776084779703</v>
      </c>
    </row>
    <row r="154" spans="2:41">
      <c r="B154" t="s">
        <v>244</v>
      </c>
      <c r="C154" t="s">
        <v>128</v>
      </c>
      <c r="D154">
        <v>5.3683930000000002</v>
      </c>
      <c r="K154" s="18" t="s">
        <v>235</v>
      </c>
      <c r="L154" t="s">
        <v>270</v>
      </c>
      <c r="M154" t="s">
        <v>274</v>
      </c>
      <c r="O154" s="24" t="s">
        <v>268</v>
      </c>
      <c r="P154" t="s">
        <v>275</v>
      </c>
      <c r="AG154" t="s">
        <v>118</v>
      </c>
      <c r="AH154">
        <v>0.49993067717510059</v>
      </c>
    </row>
    <row r="155" spans="2:41">
      <c r="B155" t="s">
        <v>236</v>
      </c>
      <c r="C155" t="s">
        <v>128</v>
      </c>
      <c r="D155">
        <v>30.938687999999999</v>
      </c>
      <c r="K155" s="20" t="s">
        <v>247</v>
      </c>
      <c r="L155" s="20" t="s">
        <v>128</v>
      </c>
      <c r="M155" s="27">
        <v>13.27946</v>
      </c>
      <c r="O155" s="25" t="s">
        <v>128</v>
      </c>
      <c r="P155">
        <v>19.818860933333333</v>
      </c>
      <c r="AG155" t="s">
        <v>119</v>
      </c>
      <c r="AH155">
        <v>0.45825823360635898</v>
      </c>
    </row>
    <row r="156" spans="2:41">
      <c r="B156" t="s">
        <v>237</v>
      </c>
      <c r="C156" t="s">
        <v>128</v>
      </c>
      <c r="D156">
        <v>31.456980000000001</v>
      </c>
      <c r="K156" s="20" t="s">
        <v>249</v>
      </c>
      <c r="L156" s="20" t="s">
        <v>128</v>
      </c>
      <c r="M156" s="27">
        <v>18.098331000000002</v>
      </c>
      <c r="O156" s="25" t="s">
        <v>170</v>
      </c>
      <c r="P156">
        <v>19.739341749999998</v>
      </c>
      <c r="AG156" t="s">
        <v>120</v>
      </c>
      <c r="AH156">
        <v>3.8929200651529965</v>
      </c>
    </row>
    <row r="157" spans="2:41" ht="15.75" thickBot="1">
      <c r="B157" t="s">
        <v>238</v>
      </c>
      <c r="C157" t="s">
        <v>128</v>
      </c>
      <c r="D157">
        <v>34.357607000000002</v>
      </c>
      <c r="K157" s="20" t="s">
        <v>250</v>
      </c>
      <c r="L157" s="20" t="s">
        <v>128</v>
      </c>
      <c r="M157" s="28">
        <v>2.2134100000000001</v>
      </c>
      <c r="O157" s="25" t="s">
        <v>269</v>
      </c>
      <c r="P157">
        <v>19.796141166666661</v>
      </c>
      <c r="AG157" s="3" t="s">
        <v>101</v>
      </c>
      <c r="AH157" s="3">
        <v>14</v>
      </c>
    </row>
    <row r="158" spans="2:41">
      <c r="B158" t="s">
        <v>239</v>
      </c>
      <c r="C158" t="s">
        <v>128</v>
      </c>
      <c r="D158">
        <v>39.090671999999998</v>
      </c>
      <c r="K158" s="20" t="s">
        <v>251</v>
      </c>
      <c r="L158" s="20" t="s">
        <v>128</v>
      </c>
      <c r="M158" s="27">
        <v>24.187462</v>
      </c>
    </row>
    <row r="159" spans="2:41" ht="15.75" thickBot="1">
      <c r="B159" t="s">
        <v>241</v>
      </c>
      <c r="C159" t="s">
        <v>128</v>
      </c>
      <c r="D159">
        <v>38.751725</v>
      </c>
      <c r="K159" s="20" t="s">
        <v>252</v>
      </c>
      <c r="L159" s="20" t="s">
        <v>128</v>
      </c>
      <c r="M159" s="27">
        <v>13.098208</v>
      </c>
      <c r="AG159" t="s">
        <v>121</v>
      </c>
    </row>
    <row r="160" spans="2:41">
      <c r="B160" t="s">
        <v>243</v>
      </c>
      <c r="C160" t="s">
        <v>128</v>
      </c>
      <c r="D160">
        <v>25.324967000000001</v>
      </c>
      <c r="K160" s="20" t="s">
        <v>253</v>
      </c>
      <c r="L160" s="20" t="s">
        <v>128</v>
      </c>
      <c r="M160" s="27">
        <v>9.9307610000000004</v>
      </c>
      <c r="AG160" s="4"/>
      <c r="AH160" s="4" t="s">
        <v>103</v>
      </c>
      <c r="AI160" s="4" t="s">
        <v>126</v>
      </c>
      <c r="AJ160" s="4" t="s">
        <v>127</v>
      </c>
      <c r="AK160" s="4" t="s">
        <v>128</v>
      </c>
      <c r="AL160" s="14" t="s">
        <v>129</v>
      </c>
    </row>
    <row r="161" spans="2:41">
      <c r="B161" t="s">
        <v>244</v>
      </c>
      <c r="C161" t="s">
        <v>128</v>
      </c>
      <c r="D161">
        <v>24.631449</v>
      </c>
      <c r="K161" s="20" t="s">
        <v>254</v>
      </c>
      <c r="L161" s="20" t="s">
        <v>128</v>
      </c>
      <c r="M161" s="27">
        <v>18.789473999999998</v>
      </c>
      <c r="O161" t="s">
        <v>109</v>
      </c>
      <c r="S161" t="s">
        <v>174</v>
      </c>
      <c r="AG161" t="s">
        <v>122</v>
      </c>
      <c r="AH161">
        <v>1</v>
      </c>
      <c r="AI161">
        <v>181.80749897578139</v>
      </c>
      <c r="AJ161">
        <v>181.80749897578139</v>
      </c>
      <c r="AK161">
        <v>11.996672965683665</v>
      </c>
      <c r="AL161" s="6">
        <v>4.6857530529600564E-3</v>
      </c>
    </row>
    <row r="162" spans="2:41" ht="15.75" thickBot="1">
      <c r="B162" t="s">
        <v>237</v>
      </c>
      <c r="C162" t="s">
        <v>170</v>
      </c>
      <c r="D162">
        <v>32.792991000000001</v>
      </c>
      <c r="K162" s="20" t="s">
        <v>255</v>
      </c>
      <c r="L162" s="20" t="s">
        <v>128</v>
      </c>
      <c r="M162" s="27">
        <v>13.606121</v>
      </c>
      <c r="T162" t="s">
        <v>276</v>
      </c>
      <c r="U162" t="s">
        <v>277</v>
      </c>
      <c r="AG162" t="s">
        <v>123</v>
      </c>
      <c r="AH162">
        <v>12</v>
      </c>
      <c r="AI162">
        <v>181.85791960404973</v>
      </c>
      <c r="AJ162">
        <v>15.15482663367081</v>
      </c>
    </row>
    <row r="163" spans="2:41" ht="15.75" thickBot="1">
      <c r="B163" t="s">
        <v>240</v>
      </c>
      <c r="C163" t="s">
        <v>170</v>
      </c>
      <c r="D163">
        <v>17.652170000000002</v>
      </c>
      <c r="K163" s="20" t="s">
        <v>248</v>
      </c>
      <c r="L163" s="20" t="s">
        <v>128</v>
      </c>
      <c r="M163" s="27">
        <v>31.080375</v>
      </c>
      <c r="O163" s="33"/>
      <c r="P163" s="33" t="s">
        <v>97</v>
      </c>
      <c r="Q163" s="33" t="s">
        <v>98</v>
      </c>
      <c r="S163" s="33"/>
      <c r="T163" s="33" t="s">
        <v>97</v>
      </c>
      <c r="U163" s="33" t="s">
        <v>98</v>
      </c>
      <c r="AG163" s="3" t="s">
        <v>124</v>
      </c>
      <c r="AH163" s="3">
        <v>13</v>
      </c>
      <c r="AI163" s="3">
        <v>363.66541857983111</v>
      </c>
      <c r="AJ163" s="3"/>
      <c r="AK163" s="3"/>
      <c r="AL163" s="3"/>
    </row>
    <row r="164" spans="2:41" ht="15.75" thickBot="1">
      <c r="B164" t="s">
        <v>241</v>
      </c>
      <c r="C164" t="s">
        <v>170</v>
      </c>
      <c r="D164">
        <v>13.541086</v>
      </c>
      <c r="K164" s="20" t="s">
        <v>260</v>
      </c>
      <c r="L164" s="20" t="s">
        <v>128</v>
      </c>
      <c r="M164" s="27">
        <v>21.965651999999999</v>
      </c>
      <c r="O164" s="31" t="s">
        <v>99</v>
      </c>
      <c r="P164" s="31">
        <v>19.818860933333333</v>
      </c>
      <c r="Q164" s="31">
        <v>19.739341749999998</v>
      </c>
      <c r="S164" s="31" t="s">
        <v>99</v>
      </c>
      <c r="T164" s="31">
        <v>19.818860933333333</v>
      </c>
      <c r="U164" s="31">
        <v>19.739341749999998</v>
      </c>
    </row>
    <row r="165" spans="2:41">
      <c r="B165" t="s">
        <v>242</v>
      </c>
      <c r="C165" t="s">
        <v>170</v>
      </c>
      <c r="D165">
        <v>22.615593000000001</v>
      </c>
      <c r="K165" s="20" t="s">
        <v>259</v>
      </c>
      <c r="L165" s="20" t="s">
        <v>128</v>
      </c>
      <c r="M165" s="27">
        <v>28.657671000000001</v>
      </c>
      <c r="O165" s="31" t="s">
        <v>100</v>
      </c>
      <c r="P165" s="31">
        <v>125.39874790952246</v>
      </c>
      <c r="Q165" s="31">
        <v>45.75766763921861</v>
      </c>
      <c r="S165" s="31" t="s">
        <v>100</v>
      </c>
      <c r="T165" s="31">
        <v>125.39874790952246</v>
      </c>
      <c r="U165" s="31">
        <v>45.75766763921861</v>
      </c>
      <c r="AG165" s="4"/>
      <c r="AH165" s="4" t="s">
        <v>130</v>
      </c>
      <c r="AI165" s="4" t="s">
        <v>120</v>
      </c>
      <c r="AJ165" s="4" t="s">
        <v>104</v>
      </c>
      <c r="AK165" s="4" t="s">
        <v>131</v>
      </c>
      <c r="AL165" s="4" t="s">
        <v>132</v>
      </c>
      <c r="AM165" s="4" t="s">
        <v>133</v>
      </c>
      <c r="AN165" s="4" t="s">
        <v>134</v>
      </c>
      <c r="AO165" s="4" t="s">
        <v>135</v>
      </c>
    </row>
    <row r="166" spans="2:41">
      <c r="B166" t="s">
        <v>243</v>
      </c>
      <c r="C166" t="s">
        <v>170</v>
      </c>
      <c r="D166">
        <v>60.294035000000001</v>
      </c>
      <c r="K166" s="20" t="s">
        <v>249</v>
      </c>
      <c r="L166" s="20" t="s">
        <v>128</v>
      </c>
      <c r="M166" s="27">
        <v>29.803229999999999</v>
      </c>
      <c r="O166" s="31" t="s">
        <v>101</v>
      </c>
      <c r="P166" s="31">
        <v>30</v>
      </c>
      <c r="Q166" s="31">
        <v>12</v>
      </c>
      <c r="S166" s="31" t="s">
        <v>101</v>
      </c>
      <c r="T166" s="31">
        <v>30</v>
      </c>
      <c r="U166" s="31">
        <v>12</v>
      </c>
      <c r="AG166" t="s">
        <v>125</v>
      </c>
      <c r="AH166">
        <v>9.2047750648732709</v>
      </c>
      <c r="AI166">
        <v>2.9601302535842295</v>
      </c>
      <c r="AJ166">
        <v>3.1095844697130492</v>
      </c>
      <c r="AK166">
        <v>9.0278090445263717E-3</v>
      </c>
      <c r="AL166">
        <v>2.7552052908778455</v>
      </c>
      <c r="AM166">
        <v>15.654344838868695</v>
      </c>
      <c r="AN166">
        <v>2.7552052908778455</v>
      </c>
      <c r="AO166">
        <v>15.654344838868695</v>
      </c>
    </row>
    <row r="167" spans="2:41" ht="15.75" thickBot="1">
      <c r="B167" t="s">
        <v>245</v>
      </c>
      <c r="C167" t="s">
        <v>170</v>
      </c>
      <c r="D167">
        <v>27.407136999999999</v>
      </c>
      <c r="K167" s="20" t="s">
        <v>251</v>
      </c>
      <c r="L167" s="20" t="s">
        <v>128</v>
      </c>
      <c r="M167" s="27">
        <v>7.7812380000000001</v>
      </c>
      <c r="O167" s="31" t="s">
        <v>110</v>
      </c>
      <c r="P167" s="31">
        <v>103.4974508351889</v>
      </c>
      <c r="Q167" s="31"/>
      <c r="S167" s="31" t="s">
        <v>102</v>
      </c>
      <c r="T167" s="31">
        <v>0</v>
      </c>
      <c r="U167" s="31"/>
      <c r="AG167" s="3" t="s">
        <v>136</v>
      </c>
      <c r="AH167" s="3">
        <v>0.33858320141151138</v>
      </c>
      <c r="AI167" s="3">
        <v>9.7754103480793705E-2</v>
      </c>
      <c r="AJ167" s="3">
        <v>3.4636213658082875</v>
      </c>
      <c r="AK167" s="3">
        <v>4.6857530529600608E-3</v>
      </c>
      <c r="AL167" s="3">
        <v>0.12559530659494017</v>
      </c>
      <c r="AM167" s="3">
        <v>0.55157109622808265</v>
      </c>
      <c r="AN167" s="3">
        <v>0.12559530659494017</v>
      </c>
      <c r="AO167" s="3">
        <v>0.55157109622808265</v>
      </c>
    </row>
    <row r="168" spans="2:41">
      <c r="B168" t="s">
        <v>246</v>
      </c>
      <c r="C168" t="s">
        <v>170</v>
      </c>
      <c r="D168">
        <v>18.118190999999999</v>
      </c>
      <c r="K168" s="22" t="s">
        <v>252</v>
      </c>
      <c r="L168" s="22" t="s">
        <v>128</v>
      </c>
      <c r="M168" s="29">
        <v>8.8605520000000002</v>
      </c>
      <c r="O168" s="31" t="s">
        <v>102</v>
      </c>
      <c r="P168" s="31">
        <v>0</v>
      </c>
      <c r="Q168" s="31"/>
      <c r="S168" s="31" t="s">
        <v>103</v>
      </c>
      <c r="T168" s="31">
        <v>33</v>
      </c>
      <c r="U168" s="31"/>
    </row>
    <row r="169" spans="2:41">
      <c r="B169" t="s">
        <v>240</v>
      </c>
      <c r="C169" t="s">
        <v>170</v>
      </c>
      <c r="D169">
        <v>30.456852999999999</v>
      </c>
      <c r="K169" s="20" t="s">
        <v>253</v>
      </c>
      <c r="L169" s="20" t="s">
        <v>128</v>
      </c>
      <c r="M169" s="27">
        <v>10.206614999999999</v>
      </c>
      <c r="O169" s="31" t="s">
        <v>103</v>
      </c>
      <c r="P169" s="31">
        <v>40</v>
      </c>
      <c r="Q169" s="31"/>
      <c r="S169" s="31" t="s">
        <v>104</v>
      </c>
      <c r="T169" s="31">
        <v>2.8126413882432311E-2</v>
      </c>
      <c r="U169" s="31"/>
    </row>
    <row r="170" spans="2:41">
      <c r="B170" t="s">
        <v>242</v>
      </c>
      <c r="C170" t="s">
        <v>170</v>
      </c>
      <c r="D170">
        <v>41.354227999999999</v>
      </c>
      <c r="F170" t="s">
        <v>109</v>
      </c>
      <c r="K170" s="20" t="s">
        <v>255</v>
      </c>
      <c r="L170" s="20" t="s">
        <v>128</v>
      </c>
      <c r="M170" s="27">
        <v>26.940118999999999</v>
      </c>
      <c r="O170" s="31" t="s">
        <v>104</v>
      </c>
      <c r="P170" s="31">
        <v>2.2884092248438195E-2</v>
      </c>
      <c r="Q170" s="31"/>
      <c r="S170" s="31" t="s">
        <v>105</v>
      </c>
      <c r="T170" s="31">
        <v>0.48886536899616073</v>
      </c>
      <c r="U170" s="31"/>
    </row>
    <row r="171" spans="2:41" ht="15.75" thickBot="1">
      <c r="B171" t="s">
        <v>245</v>
      </c>
      <c r="C171" t="s">
        <v>170</v>
      </c>
      <c r="D171">
        <v>20.296095999999999</v>
      </c>
      <c r="K171" s="20" t="s">
        <v>257</v>
      </c>
      <c r="L171" s="20" t="s">
        <v>128</v>
      </c>
      <c r="M171" s="27">
        <v>19.296327000000002</v>
      </c>
      <c r="O171" s="31" t="s">
        <v>105</v>
      </c>
      <c r="P171" s="31">
        <v>0.4909282547457946</v>
      </c>
      <c r="Q171" s="31"/>
      <c r="S171" s="31" t="s">
        <v>106</v>
      </c>
      <c r="T171" s="31">
        <v>1.6923603090303456</v>
      </c>
      <c r="U171" s="31"/>
    </row>
    <row r="172" spans="2:41">
      <c r="B172" t="s">
        <v>246</v>
      </c>
      <c r="C172" t="s">
        <v>170</v>
      </c>
      <c r="D172">
        <v>35.347144999999998</v>
      </c>
      <c r="F172" s="33"/>
      <c r="G172" s="33" t="s">
        <v>97</v>
      </c>
      <c r="H172" s="33" t="s">
        <v>98</v>
      </c>
      <c r="K172" s="20" t="s">
        <v>260</v>
      </c>
      <c r="L172" s="20" t="s">
        <v>128</v>
      </c>
      <c r="M172" s="27">
        <v>14.677982999999999</v>
      </c>
      <c r="O172" s="31" t="s">
        <v>106</v>
      </c>
      <c r="P172" s="31">
        <v>1.6838510133356521</v>
      </c>
      <c r="Q172" s="31"/>
      <c r="S172" s="31" t="s">
        <v>107</v>
      </c>
      <c r="T172" s="31">
        <v>0.97773073799232146</v>
      </c>
      <c r="U172" s="31"/>
    </row>
    <row r="173" spans="2:41" ht="15.75" thickBot="1">
      <c r="F173" s="31" t="s">
        <v>99</v>
      </c>
      <c r="G173" s="31">
        <v>27.518001909090909</v>
      </c>
      <c r="H173" s="31">
        <v>29.079593181818179</v>
      </c>
      <c r="K173" s="20" t="s">
        <v>259</v>
      </c>
      <c r="L173" s="20" t="s">
        <v>128</v>
      </c>
      <c r="M173" s="27">
        <v>20.567240000000002</v>
      </c>
      <c r="O173" s="31" t="s">
        <v>107</v>
      </c>
      <c r="P173" s="31">
        <v>0.9818565094915892</v>
      </c>
      <c r="Q173" s="31"/>
      <c r="S173" s="32" t="s">
        <v>108</v>
      </c>
      <c r="T173" s="32">
        <v>2.0345152974493397</v>
      </c>
      <c r="U173" s="32"/>
    </row>
    <row r="174" spans="2:41" ht="15.75" thickBot="1">
      <c r="F174" s="31" t="s">
        <v>100</v>
      </c>
      <c r="G174" s="31">
        <v>160.12645664206229</v>
      </c>
      <c r="H174" s="31">
        <v>179.38901862778238</v>
      </c>
      <c r="K174" s="20" t="s">
        <v>247</v>
      </c>
      <c r="L174" s="20" t="s">
        <v>128</v>
      </c>
      <c r="M174" s="27">
        <v>36.113652999999999</v>
      </c>
      <c r="O174" s="32" t="s">
        <v>108</v>
      </c>
      <c r="P174" s="32">
        <v>2.0210753903062737</v>
      </c>
      <c r="Q174" s="32"/>
    </row>
    <row r="175" spans="2:41">
      <c r="F175" s="31" t="s">
        <v>101</v>
      </c>
      <c r="G175" s="31">
        <v>11</v>
      </c>
      <c r="H175" s="31">
        <v>11</v>
      </c>
      <c r="K175" s="20" t="s">
        <v>249</v>
      </c>
      <c r="L175" s="20" t="s">
        <v>128</v>
      </c>
      <c r="M175" s="27">
        <v>14.655714</v>
      </c>
    </row>
    <row r="176" spans="2:41">
      <c r="F176" s="31" t="s">
        <v>110</v>
      </c>
      <c r="G176" s="31">
        <v>169.75773763492234</v>
      </c>
      <c r="H176" s="31"/>
      <c r="K176" s="20" t="s">
        <v>250</v>
      </c>
      <c r="L176" s="20" t="s">
        <v>128</v>
      </c>
      <c r="M176" s="27">
        <v>22.608398000000001</v>
      </c>
    </row>
    <row r="177" spans="6:17">
      <c r="F177" s="31" t="s">
        <v>102</v>
      </c>
      <c r="G177" s="31">
        <v>0</v>
      </c>
      <c r="H177" s="31"/>
      <c r="K177" s="20" t="s">
        <v>251</v>
      </c>
      <c r="L177" s="20" t="s">
        <v>128</v>
      </c>
      <c r="M177" s="28">
        <v>58.124909000000002</v>
      </c>
    </row>
    <row r="178" spans="6:17">
      <c r="F178" s="31" t="s">
        <v>103</v>
      </c>
      <c r="G178" s="31">
        <v>20</v>
      </c>
      <c r="H178" s="31"/>
      <c r="K178" s="20" t="s">
        <v>252</v>
      </c>
      <c r="L178" s="20" t="s">
        <v>128</v>
      </c>
      <c r="M178" s="27">
        <v>23.981276999999999</v>
      </c>
      <c r="O178" t="s">
        <v>160</v>
      </c>
    </row>
    <row r="179" spans="6:17" ht="15.75" thickBot="1">
      <c r="F179" s="31" t="s">
        <v>104</v>
      </c>
      <c r="G179" s="31">
        <v>-0.28108257830202393</v>
      </c>
      <c r="H179" s="31"/>
      <c r="K179" s="20" t="s">
        <v>253</v>
      </c>
      <c r="L179" s="20" t="s">
        <v>128</v>
      </c>
      <c r="M179" s="27">
        <v>6.4825799999999996</v>
      </c>
    </row>
    <row r="180" spans="6:17">
      <c r="F180" s="31" t="s">
        <v>105</v>
      </c>
      <c r="G180" s="31">
        <v>0.39076721757312882</v>
      </c>
      <c r="H180" s="31"/>
      <c r="K180" s="20" t="s">
        <v>254</v>
      </c>
      <c r="L180" s="20" t="s">
        <v>128</v>
      </c>
      <c r="M180" s="27">
        <v>7.4210529999999997</v>
      </c>
      <c r="O180" s="33"/>
      <c r="P180" s="33" t="s">
        <v>97</v>
      </c>
      <c r="Q180" s="33" t="s">
        <v>98</v>
      </c>
    </row>
    <row r="181" spans="6:17">
      <c r="F181" s="31" t="s">
        <v>106</v>
      </c>
      <c r="G181" s="31">
        <v>1.7247182429207868</v>
      </c>
      <c r="H181" s="31"/>
      <c r="K181" s="20" t="s">
        <v>255</v>
      </c>
      <c r="L181" s="20" t="s">
        <v>128</v>
      </c>
      <c r="M181" s="27">
        <v>34.287424999999999</v>
      </c>
      <c r="O181" s="31" t="s">
        <v>99</v>
      </c>
      <c r="P181" s="31">
        <v>19.818860933333333</v>
      </c>
      <c r="Q181" s="31">
        <v>19.739341749999998</v>
      </c>
    </row>
    <row r="182" spans="6:17">
      <c r="F182" s="31" t="s">
        <v>107</v>
      </c>
      <c r="G182" s="31">
        <v>0.78153443514625764</v>
      </c>
      <c r="H182" s="31"/>
      <c r="K182" s="22" t="s">
        <v>248</v>
      </c>
      <c r="L182" s="22" t="s">
        <v>128</v>
      </c>
      <c r="M182" s="29">
        <v>17.930986000000001</v>
      </c>
      <c r="O182" s="31" t="s">
        <v>100</v>
      </c>
      <c r="P182" s="31">
        <v>125.39874790952246</v>
      </c>
      <c r="Q182" s="31">
        <v>45.75766763921861</v>
      </c>
    </row>
    <row r="183" spans="6:17" ht="15.75" thickBot="1">
      <c r="F183" s="32" t="s">
        <v>108</v>
      </c>
      <c r="G183" s="32">
        <v>2.0859634472658648</v>
      </c>
      <c r="H183" s="32"/>
      <c r="K183" s="20" t="s">
        <v>257</v>
      </c>
      <c r="L183" s="20" t="s">
        <v>128</v>
      </c>
      <c r="M183" s="30">
        <v>21.611886999999999</v>
      </c>
      <c r="O183" s="31" t="s">
        <v>101</v>
      </c>
      <c r="P183" s="31">
        <v>30</v>
      </c>
      <c r="Q183" s="31">
        <v>12</v>
      </c>
    </row>
    <row r="184" spans="6:17">
      <c r="K184" s="20" t="s">
        <v>256</v>
      </c>
      <c r="L184" s="20" t="s">
        <v>128</v>
      </c>
      <c r="M184" s="30">
        <v>18.307717</v>
      </c>
      <c r="O184" s="31" t="s">
        <v>103</v>
      </c>
      <c r="P184" s="31">
        <v>29</v>
      </c>
      <c r="Q184" s="31">
        <v>11</v>
      </c>
    </row>
    <row r="185" spans="6:17">
      <c r="K185" s="20" t="s">
        <v>257</v>
      </c>
      <c r="L185" s="20" t="s">
        <v>170</v>
      </c>
      <c r="M185" s="30">
        <v>32.160544999999999</v>
      </c>
      <c r="O185" s="31" t="s">
        <v>128</v>
      </c>
      <c r="P185" s="31">
        <v>2.740496934814133</v>
      </c>
      <c r="Q185" s="31"/>
    </row>
    <row r="186" spans="6:17">
      <c r="F186" t="s">
        <v>160</v>
      </c>
      <c r="K186" s="20" t="s">
        <v>256</v>
      </c>
      <c r="L186" s="20" t="s">
        <v>170</v>
      </c>
      <c r="M186" s="30">
        <v>15.797788000000001</v>
      </c>
      <c r="O186" s="31" t="s">
        <v>161</v>
      </c>
      <c r="P186" s="31">
        <v>4.0303913311506595E-2</v>
      </c>
      <c r="Q186" s="31"/>
    </row>
    <row r="187" spans="6:17" ht="15.75" thickBot="1">
      <c r="K187" s="20" t="s">
        <v>258</v>
      </c>
      <c r="L187" s="20" t="s">
        <v>170</v>
      </c>
      <c r="M187" s="30">
        <v>18.728362000000001</v>
      </c>
      <c r="O187" s="32" t="s">
        <v>162</v>
      </c>
      <c r="P187" s="32">
        <v>2.5758605989686227</v>
      </c>
      <c r="Q187" s="32"/>
    </row>
    <row r="188" spans="6:17">
      <c r="F188" s="33"/>
      <c r="G188" s="33" t="s">
        <v>97</v>
      </c>
      <c r="H188" s="33" t="s">
        <v>98</v>
      </c>
      <c r="K188" s="20" t="s">
        <v>247</v>
      </c>
      <c r="L188" s="20" t="s">
        <v>170</v>
      </c>
      <c r="M188" s="30">
        <v>26.720863999999999</v>
      </c>
    </row>
    <row r="189" spans="6:17">
      <c r="F189" s="31" t="s">
        <v>99</v>
      </c>
      <c r="G189" s="31">
        <v>27.518001909090909</v>
      </c>
      <c r="H189" s="31">
        <v>29.079593181818179</v>
      </c>
      <c r="K189" s="20" t="s">
        <v>250</v>
      </c>
      <c r="L189" s="20" t="s">
        <v>170</v>
      </c>
      <c r="M189" s="30">
        <v>11.462300000000001</v>
      </c>
    </row>
    <row r="190" spans="6:17">
      <c r="F190" s="31" t="s">
        <v>100</v>
      </c>
      <c r="G190" s="31">
        <v>160.12645664206229</v>
      </c>
      <c r="H190" s="31">
        <v>179.38901862778238</v>
      </c>
      <c r="K190" s="20" t="s">
        <v>254</v>
      </c>
      <c r="L190" s="20" t="s">
        <v>170</v>
      </c>
      <c r="M190" s="30">
        <v>14.210526</v>
      </c>
    </row>
    <row r="191" spans="6:17">
      <c r="F191" s="31" t="s">
        <v>101</v>
      </c>
      <c r="G191" s="31">
        <v>11</v>
      </c>
      <c r="H191" s="31">
        <v>11</v>
      </c>
      <c r="K191" s="20" t="s">
        <v>248</v>
      </c>
      <c r="L191" s="20" t="s">
        <v>170</v>
      </c>
      <c r="M191" s="30">
        <v>10.094481</v>
      </c>
    </row>
    <row r="192" spans="6:17">
      <c r="F192" s="31" t="s">
        <v>103</v>
      </c>
      <c r="G192" s="31">
        <v>10</v>
      </c>
      <c r="H192" s="31">
        <v>10</v>
      </c>
      <c r="K192" s="20" t="s">
        <v>256</v>
      </c>
      <c r="L192" s="20" t="s">
        <v>170</v>
      </c>
      <c r="M192" s="30">
        <v>20.227074999999999</v>
      </c>
    </row>
    <row r="193" spans="6:13">
      <c r="F193" s="31" t="s">
        <v>128</v>
      </c>
      <c r="G193" s="31">
        <v>0.8926212867818385</v>
      </c>
      <c r="H193" s="31"/>
      <c r="K193" s="20" t="s">
        <v>258</v>
      </c>
      <c r="L193" s="20" t="s">
        <v>170</v>
      </c>
      <c r="M193" s="30">
        <v>28.883882</v>
      </c>
    </row>
    <row r="194" spans="6:13">
      <c r="F194" s="31" t="s">
        <v>161</v>
      </c>
      <c r="G194" s="31">
        <v>0.43048756108334429</v>
      </c>
      <c r="H194" s="31"/>
      <c r="K194" s="20" t="s">
        <v>260</v>
      </c>
      <c r="L194" s="20" t="s">
        <v>170</v>
      </c>
      <c r="M194" s="30">
        <v>21.452435999999999</v>
      </c>
    </row>
    <row r="195" spans="6:13" ht="15.75" thickBot="1">
      <c r="F195" s="32" t="s">
        <v>162</v>
      </c>
      <c r="G195" s="32">
        <v>0.33576911259918313</v>
      </c>
      <c r="H195" s="32"/>
      <c r="K195" s="20" t="s">
        <v>258</v>
      </c>
      <c r="L195" s="20" t="s">
        <v>170</v>
      </c>
      <c r="M195" s="30">
        <v>17.541353000000001</v>
      </c>
    </row>
    <row r="196" spans="6:13">
      <c r="K196" s="20" t="s">
        <v>259</v>
      </c>
      <c r="L196" s="20" t="s">
        <v>170</v>
      </c>
      <c r="M196" s="30">
        <v>19.592489</v>
      </c>
    </row>
  </sheetData>
  <phoneticPr fontId="5" type="noConversion"/>
  <pageMargins left="0.7" right="0.7" top="0.75" bottom="0.75" header="0.3" footer="0.3"/>
  <pageSetup paperSize="9" orientation="portrait" r:id="rId3"/>
  <drawing r:id="rId4"/>
  <tableParts count="6">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0D31-8144-4D02-A37F-D0BDE3454DA1}">
  <dimension ref="D2:Y34"/>
  <sheetViews>
    <sheetView topLeftCell="M1" zoomScaleNormal="100" workbookViewId="0">
      <selection activeCell="T3" sqref="T3:T16"/>
    </sheetView>
  </sheetViews>
  <sheetFormatPr defaultRowHeight="15"/>
  <cols>
    <col min="9" max="9" width="11.85546875" customWidth="1"/>
    <col min="10" max="10" width="10.42578125" customWidth="1"/>
    <col min="11" max="11" width="12.85546875" customWidth="1"/>
    <col min="12" max="12" width="16.5703125" customWidth="1"/>
    <col min="13" max="13" width="18.140625" customWidth="1"/>
    <col min="16" max="16" width="11.85546875" customWidth="1"/>
    <col min="17" max="17" width="10.42578125" customWidth="1"/>
    <col min="18" max="18" width="12" customWidth="1"/>
    <col min="19" max="19" width="11.5703125" customWidth="1"/>
    <col min="20" max="20" width="11.85546875" customWidth="1"/>
  </cols>
  <sheetData>
    <row r="2" spans="4:20">
      <c r="H2" s="2"/>
      <c r="I2" t="s">
        <v>163</v>
      </c>
      <c r="J2" t="s">
        <v>165</v>
      </c>
      <c r="K2" t="s">
        <v>175</v>
      </c>
      <c r="L2" t="s">
        <v>176</v>
      </c>
      <c r="M2" t="s">
        <v>177</v>
      </c>
      <c r="P2" t="s">
        <v>163</v>
      </c>
      <c r="Q2" t="s">
        <v>165</v>
      </c>
      <c r="R2" t="s">
        <v>175</v>
      </c>
      <c r="S2" t="s">
        <v>176</v>
      </c>
      <c r="T2" t="s">
        <v>177</v>
      </c>
    </row>
    <row r="3" spans="4:20">
      <c r="D3" t="s">
        <v>137</v>
      </c>
      <c r="E3" t="s">
        <v>138</v>
      </c>
      <c r="H3" s="2"/>
      <c r="I3" t="s">
        <v>65</v>
      </c>
      <c r="J3">
        <v>2</v>
      </c>
      <c r="K3">
        <v>25</v>
      </c>
      <c r="L3">
        <v>25</v>
      </c>
      <c r="M3">
        <v>0.147929</v>
      </c>
      <c r="P3" t="s">
        <v>66</v>
      </c>
      <c r="Q3">
        <v>3</v>
      </c>
      <c r="R3">
        <v>219.33333300000001</v>
      </c>
      <c r="S3">
        <v>159</v>
      </c>
      <c r="T3">
        <v>0.49503999999999998</v>
      </c>
    </row>
    <row r="4" spans="4:20">
      <c r="D4" s="2"/>
      <c r="E4" s="2"/>
      <c r="H4" s="2"/>
      <c r="I4" t="s">
        <v>64</v>
      </c>
      <c r="J4">
        <v>2</v>
      </c>
      <c r="K4">
        <v>259</v>
      </c>
      <c r="L4">
        <v>225</v>
      </c>
      <c r="M4">
        <v>0.85066200000000003</v>
      </c>
      <c r="P4" t="s">
        <v>68</v>
      </c>
      <c r="Q4">
        <v>3</v>
      </c>
      <c r="R4">
        <v>160.66666699999999</v>
      </c>
      <c r="S4">
        <v>126.666667</v>
      </c>
      <c r="T4">
        <v>0.59295100000000001</v>
      </c>
    </row>
    <row r="5" spans="4:20">
      <c r="D5" s="2"/>
      <c r="E5" s="2"/>
      <c r="H5" s="2"/>
      <c r="I5" t="s">
        <v>62</v>
      </c>
      <c r="J5">
        <v>2</v>
      </c>
      <c r="K5">
        <v>386</v>
      </c>
      <c r="L5">
        <v>352</v>
      </c>
      <c r="M5">
        <v>0.88</v>
      </c>
      <c r="P5" t="s">
        <v>69</v>
      </c>
      <c r="Q5">
        <v>3</v>
      </c>
      <c r="R5">
        <v>67</v>
      </c>
      <c r="S5">
        <v>45.666666999999997</v>
      </c>
      <c r="T5">
        <v>0.25284800000000002</v>
      </c>
    </row>
    <row r="6" spans="4:20">
      <c r="D6" s="2"/>
      <c r="E6" s="2"/>
      <c r="H6" s="2"/>
      <c r="I6" t="s">
        <v>61</v>
      </c>
      <c r="J6">
        <v>2</v>
      </c>
      <c r="K6">
        <v>421</v>
      </c>
      <c r="L6">
        <v>392</v>
      </c>
      <c r="M6">
        <v>0.921269</v>
      </c>
      <c r="P6" t="s">
        <v>70</v>
      </c>
      <c r="Q6">
        <v>3</v>
      </c>
      <c r="R6">
        <v>141.33333300000001</v>
      </c>
      <c r="S6">
        <v>130.33333300000001</v>
      </c>
      <c r="T6">
        <v>0.39312900000000001</v>
      </c>
    </row>
    <row r="7" spans="4:20">
      <c r="D7" s="2"/>
      <c r="E7" s="2"/>
      <c r="H7" s="2"/>
      <c r="I7" t="s">
        <v>59</v>
      </c>
      <c r="J7">
        <v>2</v>
      </c>
      <c r="K7">
        <v>193</v>
      </c>
      <c r="L7">
        <v>158</v>
      </c>
      <c r="M7">
        <v>0.60075999999999996</v>
      </c>
      <c r="P7" t="s">
        <v>71</v>
      </c>
      <c r="Q7">
        <v>3</v>
      </c>
      <c r="R7">
        <v>106.666667</v>
      </c>
      <c r="S7">
        <v>70</v>
      </c>
      <c r="T7">
        <v>0.43397799999999997</v>
      </c>
    </row>
    <row r="8" spans="4:20">
      <c r="D8" s="2"/>
      <c r="E8" s="2"/>
      <c r="H8" s="2"/>
      <c r="I8" t="s">
        <v>58</v>
      </c>
      <c r="J8">
        <v>2</v>
      </c>
      <c r="K8">
        <v>123</v>
      </c>
      <c r="L8">
        <v>118</v>
      </c>
      <c r="M8">
        <v>0.49684200000000001</v>
      </c>
      <c r="P8" t="s">
        <v>73</v>
      </c>
      <c r="Q8">
        <v>3</v>
      </c>
      <c r="R8">
        <v>55.333333000000003</v>
      </c>
      <c r="S8">
        <v>23</v>
      </c>
      <c r="T8">
        <v>0.352771</v>
      </c>
    </row>
    <row r="9" spans="4:20">
      <c r="D9" s="2"/>
      <c r="E9" s="2"/>
      <c r="H9" s="2"/>
      <c r="I9" t="s">
        <v>57</v>
      </c>
      <c r="J9">
        <v>2</v>
      </c>
      <c r="K9">
        <v>245</v>
      </c>
      <c r="L9">
        <v>235</v>
      </c>
      <c r="M9">
        <v>0.67821100000000001</v>
      </c>
      <c r="P9" t="s">
        <v>74</v>
      </c>
      <c r="Q9">
        <v>3</v>
      </c>
      <c r="R9">
        <v>61.333333000000003</v>
      </c>
      <c r="S9">
        <v>39.666666999999997</v>
      </c>
      <c r="T9">
        <v>0.44958799999999999</v>
      </c>
    </row>
    <row r="10" spans="4:20">
      <c r="D10" s="2"/>
      <c r="E10" s="2"/>
      <c r="H10" s="2"/>
      <c r="I10" t="s">
        <v>56</v>
      </c>
      <c r="J10">
        <v>2</v>
      </c>
      <c r="K10">
        <v>344</v>
      </c>
      <c r="L10">
        <v>338</v>
      </c>
      <c r="M10">
        <v>0.58125499999999997</v>
      </c>
      <c r="P10" t="s">
        <v>75</v>
      </c>
      <c r="Q10">
        <v>3</v>
      </c>
      <c r="R10">
        <v>132.66666699999999</v>
      </c>
      <c r="S10">
        <v>119.666667</v>
      </c>
      <c r="T10">
        <v>0.63485400000000003</v>
      </c>
    </row>
    <row r="11" spans="4:20">
      <c r="D11" s="2"/>
      <c r="E11" s="2"/>
      <c r="H11" s="2"/>
      <c r="I11" t="s">
        <v>55</v>
      </c>
      <c r="J11">
        <v>2</v>
      </c>
      <c r="K11">
        <v>51</v>
      </c>
      <c r="L11">
        <v>43</v>
      </c>
      <c r="M11">
        <v>0.30175400000000002</v>
      </c>
      <c r="P11" t="s">
        <v>49</v>
      </c>
      <c r="Q11">
        <v>3</v>
      </c>
      <c r="R11">
        <v>95.666667000000004</v>
      </c>
      <c r="S11">
        <v>70.666667000000004</v>
      </c>
      <c r="T11">
        <v>0.46416099999999999</v>
      </c>
    </row>
    <row r="12" spans="4:20">
      <c r="D12" s="2"/>
      <c r="E12" s="2"/>
      <c r="H12" s="2"/>
      <c r="I12" t="s">
        <v>54</v>
      </c>
      <c r="J12">
        <v>2</v>
      </c>
      <c r="K12">
        <v>137</v>
      </c>
      <c r="L12">
        <v>108</v>
      </c>
      <c r="M12">
        <v>0.67080700000000004</v>
      </c>
      <c r="P12" t="s">
        <v>154</v>
      </c>
      <c r="Q12">
        <v>3</v>
      </c>
      <c r="R12">
        <v>78</v>
      </c>
      <c r="S12">
        <v>60.666666999999997</v>
      </c>
      <c r="T12">
        <v>0.64059900000000003</v>
      </c>
    </row>
    <row r="13" spans="4:20">
      <c r="D13" s="2"/>
      <c r="E13" s="10"/>
      <c r="F13" s="10"/>
      <c r="H13" s="2"/>
      <c r="I13" t="s">
        <v>157</v>
      </c>
      <c r="J13">
        <v>2</v>
      </c>
      <c r="K13">
        <v>163</v>
      </c>
      <c r="L13">
        <v>146</v>
      </c>
      <c r="M13">
        <v>0.60706899999999997</v>
      </c>
      <c r="P13" t="s">
        <v>155</v>
      </c>
      <c r="Q13">
        <v>3</v>
      </c>
      <c r="R13">
        <v>112.666667</v>
      </c>
      <c r="S13">
        <v>70.333332999999996</v>
      </c>
      <c r="T13">
        <v>0.575044</v>
      </c>
    </row>
    <row r="14" spans="4:20">
      <c r="H14" s="2"/>
      <c r="P14" t="s">
        <v>156</v>
      </c>
      <c r="Q14">
        <v>3</v>
      </c>
      <c r="R14">
        <v>165</v>
      </c>
      <c r="S14">
        <v>116.333333</v>
      </c>
      <c r="T14">
        <v>0.61131000000000002</v>
      </c>
    </row>
    <row r="15" spans="4:20">
      <c r="H15" s="2"/>
      <c r="J15" t="s">
        <v>178</v>
      </c>
      <c r="K15">
        <v>0.23619999999999999</v>
      </c>
      <c r="P15" t="s">
        <v>158</v>
      </c>
      <c r="Q15">
        <v>3</v>
      </c>
      <c r="R15">
        <v>136</v>
      </c>
      <c r="S15">
        <v>98</v>
      </c>
      <c r="T15">
        <v>0.59370699999999998</v>
      </c>
    </row>
    <row r="16" spans="4:20">
      <c r="H16" s="2"/>
      <c r="J16" t="s">
        <v>179</v>
      </c>
      <c r="K16">
        <v>7.1199999999999999E-2</v>
      </c>
      <c r="P16" t="s">
        <v>159</v>
      </c>
      <c r="Q16">
        <v>3</v>
      </c>
      <c r="R16">
        <v>204.33333300000001</v>
      </c>
      <c r="S16">
        <v>146.66666699999999</v>
      </c>
      <c r="T16">
        <v>0.62343700000000002</v>
      </c>
    </row>
    <row r="17" spans="4:25">
      <c r="H17" s="2"/>
    </row>
    <row r="18" spans="4:25">
      <c r="D18" s="9"/>
      <c r="E18" s="9"/>
      <c r="F18" s="9"/>
      <c r="H18" s="2"/>
      <c r="J18" t="s">
        <v>160</v>
      </c>
      <c r="O18" t="s">
        <v>178</v>
      </c>
      <c r="P18">
        <v>0.12</v>
      </c>
      <c r="R18" t="s">
        <v>174</v>
      </c>
    </row>
    <row r="19" spans="4:25" ht="15.75" thickBot="1">
      <c r="H19" s="2"/>
      <c r="O19" t="s">
        <v>179</v>
      </c>
    </row>
    <row r="20" spans="4:25">
      <c r="H20" s="2"/>
      <c r="J20" s="4"/>
      <c r="K20" s="4" t="s">
        <v>97</v>
      </c>
      <c r="L20" s="4" t="s">
        <v>98</v>
      </c>
      <c r="N20" s="9"/>
      <c r="O20" s="9"/>
      <c r="P20" s="9"/>
      <c r="R20" s="4"/>
      <c r="S20" s="4" t="s">
        <v>97</v>
      </c>
      <c r="T20" s="4" t="s">
        <v>98</v>
      </c>
      <c r="W20" s="9"/>
      <c r="X20" s="9"/>
      <c r="Y20" s="9"/>
    </row>
    <row r="21" spans="4:25">
      <c r="H21" s="2"/>
      <c r="J21" t="s">
        <v>99</v>
      </c>
      <c r="K21">
        <v>0.61241436363636359</v>
      </c>
      <c r="L21">
        <v>0.50810121428571398</v>
      </c>
      <c r="R21" t="s">
        <v>99</v>
      </c>
      <c r="S21">
        <v>0.61241436363636359</v>
      </c>
      <c r="T21">
        <v>0.5081012142857142</v>
      </c>
    </row>
    <row r="22" spans="4:25">
      <c r="H22" s="2"/>
      <c r="J22" t="s">
        <v>100</v>
      </c>
      <c r="K22">
        <v>5.5824288161254551E-2</v>
      </c>
      <c r="L22">
        <v>1.4623475068181411E-2</v>
      </c>
      <c r="R22" t="s">
        <v>100</v>
      </c>
      <c r="S22">
        <v>5.5824288161254551E-2</v>
      </c>
      <c r="T22">
        <v>1.4623475068181411E-2</v>
      </c>
    </row>
    <row r="23" spans="4:25">
      <c r="H23" s="2"/>
      <c r="J23" t="s">
        <v>101</v>
      </c>
      <c r="K23">
        <v>11</v>
      </c>
      <c r="L23">
        <v>14</v>
      </c>
      <c r="R23" t="s">
        <v>101</v>
      </c>
      <c r="S23">
        <v>11</v>
      </c>
      <c r="T23">
        <v>14</v>
      </c>
    </row>
    <row r="24" spans="4:25">
      <c r="H24" s="2"/>
      <c r="J24" t="s">
        <v>103</v>
      </c>
      <c r="K24">
        <v>10</v>
      </c>
      <c r="L24">
        <v>13</v>
      </c>
      <c r="R24" t="s">
        <v>102</v>
      </c>
      <c r="S24">
        <v>0</v>
      </c>
    </row>
    <row r="25" spans="4:25">
      <c r="H25" s="2"/>
      <c r="J25" t="s">
        <v>128</v>
      </c>
      <c r="K25">
        <v>3.8174433847615479</v>
      </c>
      <c r="R25" t="s">
        <v>103</v>
      </c>
      <c r="S25">
        <v>14</v>
      </c>
    </row>
    <row r="26" spans="4:25">
      <c r="H26" s="2"/>
      <c r="J26" t="s">
        <v>161</v>
      </c>
      <c r="K26">
        <v>1.3392402592655414E-2</v>
      </c>
      <c r="R26" t="s">
        <v>104</v>
      </c>
      <c r="S26">
        <v>1.3334667165923608</v>
      </c>
    </row>
    <row r="27" spans="4:25" ht="15.75" thickBot="1">
      <c r="H27" s="2"/>
      <c r="J27" s="3" t="s">
        <v>162</v>
      </c>
      <c r="K27" s="3">
        <v>2.671024228555126</v>
      </c>
      <c r="L27" s="3"/>
      <c r="R27" t="s">
        <v>105</v>
      </c>
      <c r="S27">
        <v>0.10183490355630136</v>
      </c>
    </row>
    <row r="28" spans="4:25">
      <c r="R28" t="s">
        <v>106</v>
      </c>
      <c r="S28">
        <v>1.7613101357748921</v>
      </c>
    </row>
    <row r="29" spans="4:25">
      <c r="R29" t="s">
        <v>107</v>
      </c>
      <c r="S29">
        <v>0.20366980711260271</v>
      </c>
    </row>
    <row r="30" spans="4:25" ht="15.75" thickBot="1">
      <c r="R30" s="3" t="s">
        <v>108</v>
      </c>
      <c r="S30" s="3">
        <v>2.1447866879178044</v>
      </c>
      <c r="T30" s="3"/>
    </row>
    <row r="34" spans="7:9">
      <c r="G34" s="9"/>
      <c r="H34" s="9"/>
      <c r="I34" s="9"/>
    </row>
  </sheetData>
  <pageMargins left="0.7" right="0.7" top="0.75" bottom="0.75" header="0.3" footer="0.3"/>
  <pageSetup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AEBE-0304-40C9-AD55-B102AE5944DF}">
  <dimension ref="B1:T49"/>
  <sheetViews>
    <sheetView topLeftCell="G1" zoomScale="115" zoomScaleNormal="115" workbookViewId="0">
      <selection activeCell="Q2" sqref="Q2:Q15"/>
    </sheetView>
  </sheetViews>
  <sheetFormatPr defaultRowHeight="15"/>
  <cols>
    <col min="7" max="7" width="12.42578125" customWidth="1"/>
    <col min="8" max="9" width="10.85546875" customWidth="1"/>
    <col min="10" max="10" width="11.42578125" customWidth="1"/>
    <col min="14" max="14" width="9.42578125" customWidth="1"/>
    <col min="15" max="15" width="10.85546875" customWidth="1"/>
    <col min="16" max="16" width="9.85546875" customWidth="1"/>
    <col min="17" max="17" width="19.42578125" customWidth="1"/>
  </cols>
  <sheetData>
    <row r="1" spans="2:20">
      <c r="F1" s="13"/>
      <c r="G1" t="s">
        <v>163</v>
      </c>
      <c r="H1" t="s">
        <v>165</v>
      </c>
      <c r="I1" t="s">
        <v>176</v>
      </c>
      <c r="J1" t="s">
        <v>180</v>
      </c>
      <c r="N1" t="s">
        <v>163</v>
      </c>
      <c r="O1" t="s">
        <v>165</v>
      </c>
      <c r="P1" t="s">
        <v>176</v>
      </c>
      <c r="Q1" t="s">
        <v>180</v>
      </c>
    </row>
    <row r="2" spans="2:20">
      <c r="F2" s="2"/>
      <c r="G2" t="s">
        <v>65</v>
      </c>
      <c r="H2">
        <v>2</v>
      </c>
      <c r="I2">
        <v>25</v>
      </c>
      <c r="J2">
        <v>594.36</v>
      </c>
      <c r="N2" t="s">
        <v>66</v>
      </c>
      <c r="O2">
        <v>3</v>
      </c>
      <c r="P2">
        <v>159</v>
      </c>
      <c r="Q2">
        <v>464.69001100000003</v>
      </c>
    </row>
    <row r="3" spans="2:20">
      <c r="B3" t="s">
        <v>91</v>
      </c>
      <c r="C3" t="s">
        <v>139</v>
      </c>
      <c r="F3" s="2"/>
      <c r="G3" t="s">
        <v>64</v>
      </c>
      <c r="H3">
        <v>2</v>
      </c>
      <c r="I3">
        <v>225</v>
      </c>
      <c r="J3">
        <v>501.77777800000001</v>
      </c>
      <c r="N3" t="s">
        <v>68</v>
      </c>
      <c r="O3">
        <v>3</v>
      </c>
      <c r="P3">
        <v>126.666667</v>
      </c>
      <c r="Q3">
        <v>583.26539500000001</v>
      </c>
    </row>
    <row r="4" spans="2:20">
      <c r="B4">
        <v>594.36</v>
      </c>
      <c r="C4">
        <v>464.69001100000003</v>
      </c>
      <c r="F4" s="2"/>
      <c r="G4" t="s">
        <v>62</v>
      </c>
      <c r="H4">
        <v>2</v>
      </c>
      <c r="I4">
        <v>352</v>
      </c>
      <c r="J4">
        <v>528.82102299999997</v>
      </c>
      <c r="N4" t="s">
        <v>69</v>
      </c>
      <c r="O4">
        <v>3</v>
      </c>
      <c r="P4">
        <v>45.666666999999997</v>
      </c>
      <c r="Q4">
        <v>657.174126</v>
      </c>
    </row>
    <row r="5" spans="2:20">
      <c r="B5">
        <v>501.77777800000001</v>
      </c>
      <c r="C5">
        <v>583.26539500000001</v>
      </c>
      <c r="F5" s="2"/>
      <c r="G5" t="s">
        <v>61</v>
      </c>
      <c r="H5">
        <v>2</v>
      </c>
      <c r="I5">
        <v>392</v>
      </c>
      <c r="J5">
        <v>466.16581600000001</v>
      </c>
      <c r="N5" t="s">
        <v>70</v>
      </c>
      <c r="O5">
        <v>3</v>
      </c>
      <c r="P5">
        <v>130.33333300000001</v>
      </c>
      <c r="Q5">
        <v>438.32892800000002</v>
      </c>
    </row>
    <row r="6" spans="2:20">
      <c r="B6">
        <v>528.82102299999997</v>
      </c>
      <c r="C6">
        <v>657.174126</v>
      </c>
      <c r="F6" s="2"/>
      <c r="G6" t="s">
        <v>59</v>
      </c>
      <c r="H6">
        <v>2</v>
      </c>
      <c r="I6">
        <v>158</v>
      </c>
      <c r="J6">
        <v>592.886076</v>
      </c>
      <c r="N6" t="s">
        <v>71</v>
      </c>
      <c r="O6">
        <v>3</v>
      </c>
      <c r="P6">
        <v>70</v>
      </c>
      <c r="Q6">
        <v>615.38994200000002</v>
      </c>
    </row>
    <row r="7" spans="2:20">
      <c r="B7">
        <v>466.16581600000001</v>
      </c>
      <c r="C7">
        <v>438.32892800000002</v>
      </c>
      <c r="F7" s="2"/>
      <c r="G7" t="s">
        <v>58</v>
      </c>
      <c r="H7">
        <v>2</v>
      </c>
      <c r="I7">
        <v>118</v>
      </c>
      <c r="J7">
        <v>479.042373</v>
      </c>
      <c r="N7" t="s">
        <v>73</v>
      </c>
      <c r="O7">
        <v>3</v>
      </c>
      <c r="P7">
        <v>23</v>
      </c>
      <c r="Q7">
        <v>791.38082399999996</v>
      </c>
    </row>
    <row r="8" spans="2:20">
      <c r="B8">
        <v>592.886076</v>
      </c>
      <c r="C8">
        <v>615.38994200000002</v>
      </c>
      <c r="F8" s="2"/>
      <c r="G8" t="s">
        <v>57</v>
      </c>
      <c r="H8">
        <v>2</v>
      </c>
      <c r="I8">
        <v>235</v>
      </c>
      <c r="J8">
        <v>477.22127699999999</v>
      </c>
      <c r="N8" t="s">
        <v>74</v>
      </c>
      <c r="O8">
        <v>3</v>
      </c>
      <c r="P8">
        <v>39.666666999999997</v>
      </c>
      <c r="Q8">
        <v>695.81287599999996</v>
      </c>
    </row>
    <row r="9" spans="2:20">
      <c r="B9">
        <v>479.042373</v>
      </c>
      <c r="C9">
        <v>791.38082399999996</v>
      </c>
      <c r="F9" s="2"/>
      <c r="G9" t="s">
        <v>56</v>
      </c>
      <c r="H9">
        <v>2</v>
      </c>
      <c r="I9">
        <v>338</v>
      </c>
      <c r="J9">
        <v>331.89349099999998</v>
      </c>
      <c r="N9" t="s">
        <v>75</v>
      </c>
      <c r="O9">
        <v>3</v>
      </c>
      <c r="P9">
        <v>119.666667</v>
      </c>
      <c r="Q9">
        <v>527.410031</v>
      </c>
    </row>
    <row r="10" spans="2:20">
      <c r="B10">
        <v>477.22127699999999</v>
      </c>
      <c r="C10">
        <v>695.81287599999996</v>
      </c>
      <c r="F10" s="2"/>
      <c r="G10" t="s">
        <v>55</v>
      </c>
      <c r="H10">
        <v>2</v>
      </c>
      <c r="I10">
        <v>43</v>
      </c>
      <c r="J10">
        <v>535.348837</v>
      </c>
      <c r="N10" t="s">
        <v>49</v>
      </c>
      <c r="O10">
        <v>3</v>
      </c>
      <c r="P10">
        <v>70.666667000000004</v>
      </c>
      <c r="Q10">
        <v>576.467668</v>
      </c>
      <c r="S10" t="s">
        <v>178</v>
      </c>
      <c r="T10">
        <v>90.976900000000001</v>
      </c>
    </row>
    <row r="11" spans="2:20">
      <c r="B11">
        <v>331.89349099999998</v>
      </c>
      <c r="C11">
        <v>527.410031</v>
      </c>
      <c r="F11" s="2"/>
      <c r="G11" t="s">
        <v>54</v>
      </c>
      <c r="H11">
        <v>2</v>
      </c>
      <c r="I11">
        <v>108</v>
      </c>
      <c r="J11">
        <v>495.25925899999999</v>
      </c>
      <c r="N11" t="s">
        <v>154</v>
      </c>
      <c r="O11">
        <v>3</v>
      </c>
      <c r="P11">
        <v>60.666666999999997</v>
      </c>
      <c r="Q11">
        <v>526.009818</v>
      </c>
      <c r="S11" t="s">
        <v>179</v>
      </c>
      <c r="T11">
        <v>24.314</v>
      </c>
    </row>
    <row r="12" spans="2:20">
      <c r="B12">
        <v>535.348837</v>
      </c>
      <c r="C12">
        <v>576.467668</v>
      </c>
      <c r="F12" s="2"/>
      <c r="G12" t="s">
        <v>157</v>
      </c>
      <c r="H12">
        <v>2</v>
      </c>
      <c r="I12">
        <v>146</v>
      </c>
      <c r="J12">
        <v>537.96575299999995</v>
      </c>
      <c r="N12" t="s">
        <v>155</v>
      </c>
      <c r="O12">
        <v>3</v>
      </c>
      <c r="P12">
        <v>70.333332999999996</v>
      </c>
      <c r="Q12">
        <v>623.76832400000001</v>
      </c>
    </row>
    <row r="13" spans="2:20">
      <c r="B13">
        <v>495.25925899999999</v>
      </c>
      <c r="F13" s="2"/>
      <c r="N13" t="s">
        <v>156</v>
      </c>
      <c r="O13">
        <v>3</v>
      </c>
      <c r="P13">
        <v>116.333333</v>
      </c>
      <c r="Q13">
        <v>618.435472</v>
      </c>
    </row>
    <row r="14" spans="2:20">
      <c r="F14" s="2"/>
      <c r="H14" t="s">
        <v>178</v>
      </c>
      <c r="I14">
        <v>71.617400000000004</v>
      </c>
      <c r="N14" t="s">
        <v>158</v>
      </c>
      <c r="O14">
        <v>3</v>
      </c>
      <c r="P14">
        <v>98</v>
      </c>
      <c r="Q14">
        <v>596.43339800000001</v>
      </c>
    </row>
    <row r="15" spans="2:20">
      <c r="F15" s="2"/>
      <c r="H15" t="s">
        <v>179</v>
      </c>
      <c r="I15">
        <v>21.593399999999999</v>
      </c>
      <c r="N15" t="s">
        <v>159</v>
      </c>
      <c r="O15">
        <v>3</v>
      </c>
      <c r="P15">
        <v>146.66666699999999</v>
      </c>
      <c r="Q15">
        <v>548.124099</v>
      </c>
    </row>
    <row r="16" spans="2:20">
      <c r="F16" s="2"/>
    </row>
    <row r="17" spans="6:16">
      <c r="F17" s="2"/>
    </row>
    <row r="18" spans="6:16">
      <c r="F18" s="2"/>
    </row>
    <row r="19" spans="6:16">
      <c r="F19" s="2"/>
      <c r="I19" t="s">
        <v>160</v>
      </c>
      <c r="N19" t="s">
        <v>109</v>
      </c>
    </row>
    <row r="20" spans="6:16" ht="15.75" thickBot="1">
      <c r="F20" s="2"/>
    </row>
    <row r="21" spans="6:16">
      <c r="F21" s="2"/>
      <c r="I21" s="4"/>
      <c r="J21" s="4" t="s">
        <v>91</v>
      </c>
      <c r="K21" s="4" t="s">
        <v>139</v>
      </c>
      <c r="N21" s="4"/>
      <c r="O21" s="4" t="s">
        <v>91</v>
      </c>
      <c r="P21" s="4" t="s">
        <v>139</v>
      </c>
    </row>
    <row r="22" spans="6:16">
      <c r="F22" s="2"/>
      <c r="I22" t="s">
        <v>99</v>
      </c>
      <c r="J22">
        <v>503.70378936363636</v>
      </c>
      <c r="K22">
        <v>590.19220800000005</v>
      </c>
      <c r="N22" t="s">
        <v>99</v>
      </c>
      <c r="O22">
        <v>503.70378936363636</v>
      </c>
      <c r="P22">
        <v>590.19220800000005</v>
      </c>
    </row>
    <row r="23" spans="6:16">
      <c r="F23" s="2"/>
      <c r="I23" t="s">
        <v>100</v>
      </c>
      <c r="J23">
        <v>5129.0601993342862</v>
      </c>
      <c r="K23">
        <v>8276.7988895870603</v>
      </c>
      <c r="N23" t="s">
        <v>100</v>
      </c>
      <c r="O23">
        <v>5129.0601993342862</v>
      </c>
      <c r="P23">
        <v>8276.7988895870603</v>
      </c>
    </row>
    <row r="24" spans="6:16">
      <c r="F24" s="2"/>
      <c r="I24" t="s">
        <v>101</v>
      </c>
      <c r="J24">
        <v>11</v>
      </c>
      <c r="K24">
        <v>14</v>
      </c>
      <c r="N24" t="s">
        <v>101</v>
      </c>
      <c r="O24">
        <v>11</v>
      </c>
      <c r="P24">
        <v>14</v>
      </c>
    </row>
    <row r="25" spans="6:16">
      <c r="F25" s="2"/>
      <c r="I25" t="s">
        <v>103</v>
      </c>
      <c r="J25">
        <v>10</v>
      </c>
      <c r="K25">
        <v>13</v>
      </c>
      <c r="N25" t="s">
        <v>110</v>
      </c>
      <c r="O25">
        <v>6908.2168503467237</v>
      </c>
    </row>
    <row r="26" spans="6:16">
      <c r="F26" s="2"/>
      <c r="I26" t="s">
        <v>128</v>
      </c>
      <c r="J26">
        <v>0.6196912922201232</v>
      </c>
      <c r="N26" t="s">
        <v>102</v>
      </c>
      <c r="O26">
        <v>0</v>
      </c>
    </row>
    <row r="27" spans="6:16">
      <c r="F27" s="10"/>
      <c r="I27" t="s">
        <v>161</v>
      </c>
      <c r="J27">
        <v>0.22679259849501321</v>
      </c>
      <c r="N27" t="s">
        <v>103</v>
      </c>
      <c r="O27">
        <v>23</v>
      </c>
    </row>
    <row r="28" spans="6:16" ht="15.75" thickBot="1">
      <c r="F28" s="10"/>
      <c r="I28" s="3" t="s">
        <v>162</v>
      </c>
      <c r="J28" s="3">
        <v>0.34635936731356898</v>
      </c>
      <c r="K28" s="3"/>
      <c r="N28" t="s">
        <v>104</v>
      </c>
      <c r="O28">
        <v>-2.5826486740414332</v>
      </c>
    </row>
    <row r="29" spans="6:16">
      <c r="F29" s="10"/>
      <c r="N29" t="s">
        <v>105</v>
      </c>
      <c r="O29">
        <v>8.3215912662839963E-3</v>
      </c>
    </row>
    <row r="30" spans="6:16">
      <c r="N30" t="s">
        <v>106</v>
      </c>
      <c r="O30">
        <v>1.7138715277470482</v>
      </c>
    </row>
    <row r="31" spans="6:16">
      <c r="N31" t="s">
        <v>107</v>
      </c>
      <c r="O31" s="11">
        <v>1.6643182532567993E-2</v>
      </c>
    </row>
    <row r="32" spans="6:16" ht="15.75" thickBot="1">
      <c r="N32" s="3" t="s">
        <v>108</v>
      </c>
      <c r="O32" s="3">
        <v>2.0686576104190491</v>
      </c>
      <c r="P32" s="3"/>
    </row>
    <row r="36" spans="2:4">
      <c r="B36" t="s">
        <v>109</v>
      </c>
    </row>
    <row r="37" spans="2:4" ht="15.75" thickBot="1"/>
    <row r="38" spans="2:4">
      <c r="B38" s="4"/>
      <c r="C38" s="4" t="s">
        <v>97</v>
      </c>
      <c r="D38" s="4" t="s">
        <v>98</v>
      </c>
    </row>
    <row r="39" spans="2:4">
      <c r="B39" t="s">
        <v>99</v>
      </c>
      <c r="C39">
        <v>500.27759300000008</v>
      </c>
      <c r="D39">
        <v>594.43553344444445</v>
      </c>
    </row>
    <row r="40" spans="2:4">
      <c r="B40" t="s">
        <v>100</v>
      </c>
      <c r="C40">
        <v>5555.4812917667441</v>
      </c>
      <c r="D40">
        <v>12447.904788325191</v>
      </c>
    </row>
    <row r="41" spans="2:4">
      <c r="B41" t="s">
        <v>101</v>
      </c>
      <c r="C41">
        <v>10</v>
      </c>
      <c r="D41">
        <v>9</v>
      </c>
    </row>
    <row r="42" spans="2:4">
      <c r="B42" t="s">
        <v>110</v>
      </c>
      <c r="C42">
        <v>8798.974701911895</v>
      </c>
    </row>
    <row r="43" spans="2:4">
      <c r="B43" t="s">
        <v>102</v>
      </c>
      <c r="C43">
        <v>0</v>
      </c>
    </row>
    <row r="44" spans="2:4">
      <c r="B44" t="s">
        <v>103</v>
      </c>
      <c r="C44">
        <v>17</v>
      </c>
    </row>
    <row r="45" spans="2:4">
      <c r="B45" t="s">
        <v>104</v>
      </c>
      <c r="C45">
        <v>-2.1846676115030039</v>
      </c>
    </row>
    <row r="46" spans="2:4">
      <c r="B46" t="s">
        <v>105</v>
      </c>
      <c r="C46">
        <v>2.1603458578222112E-2</v>
      </c>
    </row>
    <row r="47" spans="2:4">
      <c r="B47" t="s">
        <v>106</v>
      </c>
      <c r="C47">
        <v>1.7396067260750732</v>
      </c>
    </row>
    <row r="48" spans="2:4">
      <c r="B48" s="11" t="s">
        <v>107</v>
      </c>
      <c r="C48" s="11">
        <v>4.3206917156444202E-2</v>
      </c>
    </row>
    <row r="49" spans="2:4" ht="15.75" thickBot="1">
      <c r="B49" s="3" t="s">
        <v>108</v>
      </c>
      <c r="C49" s="3">
        <v>2.109815577833317</v>
      </c>
      <c r="D49" s="3"/>
    </row>
  </sheetData>
  <pageMargins left="0.7" right="0.7" top="0.75" bottom="0.75" header="0.3" footer="0.3"/>
  <pageSetup paperSize="9"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5B1A-F51E-4B8D-9DD1-817BE0164FEC}">
  <dimension ref="B1:AE31"/>
  <sheetViews>
    <sheetView workbookViewId="0">
      <selection activeCell="P11" sqref="P11"/>
    </sheetView>
  </sheetViews>
  <sheetFormatPr defaultRowHeight="15"/>
  <cols>
    <col min="2" max="2" width="13.7109375" customWidth="1"/>
    <col min="8" max="8" width="18.85546875" customWidth="1"/>
    <col min="9" max="9" width="15.7109375" customWidth="1"/>
    <col min="10" max="10" width="16.7109375" customWidth="1"/>
    <col min="19" max="19" width="8.7109375" customWidth="1"/>
  </cols>
  <sheetData>
    <row r="1" spans="2:31">
      <c r="B1" t="s">
        <v>169</v>
      </c>
      <c r="G1" t="s">
        <v>194</v>
      </c>
      <c r="H1" t="s">
        <v>195</v>
      </c>
      <c r="I1" t="s">
        <v>194</v>
      </c>
      <c r="J1" t="s">
        <v>194</v>
      </c>
      <c r="S1" t="s">
        <v>173</v>
      </c>
      <c r="X1" t="s">
        <v>194</v>
      </c>
      <c r="Y1" t="s">
        <v>195</v>
      </c>
      <c r="Z1" t="s">
        <v>195</v>
      </c>
      <c r="AA1" t="s">
        <v>194</v>
      </c>
    </row>
    <row r="2" spans="2:31">
      <c r="B2" t="s">
        <v>181</v>
      </c>
      <c r="C2" t="s">
        <v>182</v>
      </c>
      <c r="D2" t="s">
        <v>183</v>
      </c>
      <c r="E2" t="s">
        <v>184</v>
      </c>
      <c r="F2" t="s">
        <v>185</v>
      </c>
      <c r="G2" t="s">
        <v>186</v>
      </c>
      <c r="H2" t="s">
        <v>187</v>
      </c>
      <c r="I2" t="s">
        <v>188</v>
      </c>
      <c r="J2" t="s">
        <v>189</v>
      </c>
      <c r="K2" t="s">
        <v>190</v>
      </c>
      <c r="L2" t="s">
        <v>191</v>
      </c>
      <c r="M2" t="s">
        <v>192</v>
      </c>
      <c r="N2" t="s">
        <v>193</v>
      </c>
      <c r="S2" t="s">
        <v>181</v>
      </c>
      <c r="T2" t="s">
        <v>182</v>
      </c>
      <c r="U2" t="s">
        <v>183</v>
      </c>
      <c r="V2" t="s">
        <v>184</v>
      </c>
      <c r="W2" t="s">
        <v>185</v>
      </c>
      <c r="X2" t="s">
        <v>186</v>
      </c>
      <c r="Y2" t="s">
        <v>187</v>
      </c>
      <c r="Z2" t="s">
        <v>188</v>
      </c>
      <c r="AA2" t="s">
        <v>189</v>
      </c>
      <c r="AB2" t="s">
        <v>190</v>
      </c>
      <c r="AC2" t="s">
        <v>191</v>
      </c>
      <c r="AD2" t="s">
        <v>192</v>
      </c>
      <c r="AE2" t="s">
        <v>193</v>
      </c>
    </row>
    <row r="3" spans="2:31">
      <c r="B3">
        <v>0</v>
      </c>
      <c r="C3">
        <v>9.8846000000000003E-2</v>
      </c>
      <c r="D3">
        <v>9.8846000000000003E-2</v>
      </c>
      <c r="E3">
        <v>0.19769100000000001</v>
      </c>
      <c r="F3">
        <v>0</v>
      </c>
      <c r="G3">
        <v>0.494228</v>
      </c>
      <c r="H3">
        <v>0.19769100000000001</v>
      </c>
      <c r="I3">
        <v>0.296537</v>
      </c>
      <c r="J3">
        <v>0.296537</v>
      </c>
      <c r="K3">
        <v>0.39538299999999998</v>
      </c>
      <c r="L3">
        <v>0.19769100000000001</v>
      </c>
      <c r="M3">
        <v>9.8846000000000003E-2</v>
      </c>
      <c r="N3">
        <v>9.8846000000000003E-2</v>
      </c>
      <c r="S3">
        <v>0</v>
      </c>
      <c r="T3">
        <v>0.72875100000000004</v>
      </c>
      <c r="U3">
        <v>1.3765289999999999</v>
      </c>
      <c r="V3">
        <v>2.024308</v>
      </c>
      <c r="W3">
        <v>2.6720860000000002</v>
      </c>
      <c r="X3">
        <v>4.129588</v>
      </c>
      <c r="Y3">
        <v>8.2591760000000001</v>
      </c>
      <c r="Z3">
        <v>7.9352869999999998</v>
      </c>
      <c r="AA3">
        <v>3.8056990000000002</v>
      </c>
      <c r="AB3">
        <v>2.5101420000000001</v>
      </c>
      <c r="AC3">
        <v>2.3481969999999999</v>
      </c>
      <c r="AD3">
        <v>1.943336</v>
      </c>
      <c r="AE3">
        <v>0.89069500000000001</v>
      </c>
    </row>
    <row r="4" spans="2:31">
      <c r="B4">
        <v>1</v>
      </c>
      <c r="C4">
        <v>0.97164399999999995</v>
      </c>
      <c r="D4">
        <v>1.4574659999999999</v>
      </c>
      <c r="E4">
        <v>1.5789219999999999</v>
      </c>
      <c r="F4">
        <v>2.0647440000000001</v>
      </c>
      <c r="G4">
        <v>3.279299</v>
      </c>
      <c r="H4">
        <v>4.61531</v>
      </c>
      <c r="I4">
        <v>4.4938539999999998</v>
      </c>
      <c r="J4">
        <v>3.279299</v>
      </c>
      <c r="K4">
        <v>2.914933</v>
      </c>
      <c r="L4">
        <v>1.4574659999999999</v>
      </c>
      <c r="M4">
        <v>0.85018899999999997</v>
      </c>
      <c r="N4">
        <v>0.364367</v>
      </c>
      <c r="S4">
        <v>1</v>
      </c>
      <c r="T4">
        <v>2.1639309999999998</v>
      </c>
      <c r="U4">
        <v>2.1639309999999998</v>
      </c>
      <c r="V4">
        <v>2.6557330000000001</v>
      </c>
      <c r="W4">
        <v>2.950815</v>
      </c>
      <c r="X4">
        <v>4.4262220000000001</v>
      </c>
      <c r="Y4">
        <v>5.6065480000000001</v>
      </c>
      <c r="Z4">
        <v>5.8032690000000002</v>
      </c>
      <c r="AA4">
        <v>3.3442569999999998</v>
      </c>
      <c r="AB4">
        <v>2.459012</v>
      </c>
      <c r="AC4">
        <v>2.459012</v>
      </c>
      <c r="AD4">
        <v>1.770489</v>
      </c>
      <c r="AE4">
        <v>1.5737680000000001</v>
      </c>
    </row>
    <row r="5" spans="2:31">
      <c r="B5">
        <v>2</v>
      </c>
      <c r="C5">
        <v>0.82989400000000002</v>
      </c>
      <c r="D5">
        <v>1.3278300000000001</v>
      </c>
      <c r="E5">
        <v>1.742777</v>
      </c>
      <c r="F5">
        <v>2.4066920000000001</v>
      </c>
      <c r="G5">
        <v>3.8175119999999998</v>
      </c>
      <c r="H5">
        <v>3.9005010000000002</v>
      </c>
      <c r="I5">
        <v>4.8963739999999998</v>
      </c>
      <c r="J5">
        <v>3.4025650000000001</v>
      </c>
      <c r="K5">
        <v>2.4896820000000002</v>
      </c>
      <c r="L5">
        <v>1.9917450000000001</v>
      </c>
      <c r="M5">
        <v>1.4938089999999999</v>
      </c>
      <c r="N5">
        <v>0.912883</v>
      </c>
      <c r="S5">
        <v>2</v>
      </c>
      <c r="T5">
        <v>0.55335199999999996</v>
      </c>
      <c r="U5">
        <v>0.31620100000000001</v>
      </c>
      <c r="V5">
        <v>1.0276540000000001</v>
      </c>
      <c r="W5">
        <v>0.63240300000000005</v>
      </c>
      <c r="X5">
        <v>1.0276540000000001</v>
      </c>
      <c r="Y5">
        <v>1.7391080000000001</v>
      </c>
      <c r="Z5">
        <v>1.7391080000000001</v>
      </c>
      <c r="AA5">
        <v>0.79050299999999996</v>
      </c>
      <c r="AB5">
        <v>0.79050299999999996</v>
      </c>
      <c r="AC5">
        <v>0.79050299999999996</v>
      </c>
      <c r="AD5">
        <v>0.39525199999999999</v>
      </c>
      <c r="AE5">
        <v>1.0276540000000001</v>
      </c>
    </row>
    <row r="6" spans="2:31">
      <c r="B6">
        <v>3</v>
      </c>
      <c r="C6">
        <v>0.63636000000000004</v>
      </c>
      <c r="D6">
        <v>1.090902</v>
      </c>
      <c r="E6">
        <v>1.1818109999999999</v>
      </c>
      <c r="F6">
        <v>2.545439</v>
      </c>
      <c r="G6">
        <v>4.4545180000000002</v>
      </c>
      <c r="H6">
        <v>6.181781</v>
      </c>
      <c r="I6">
        <v>7.181775</v>
      </c>
      <c r="J6">
        <v>4.4545180000000002</v>
      </c>
      <c r="K6">
        <v>3.3636159999999999</v>
      </c>
      <c r="L6">
        <v>1.9999880000000001</v>
      </c>
      <c r="M6">
        <v>1.454537</v>
      </c>
      <c r="N6">
        <v>1.090902</v>
      </c>
      <c r="S6">
        <v>3</v>
      </c>
      <c r="T6">
        <v>0.74999899999999997</v>
      </c>
      <c r="U6">
        <v>0.65624899999999997</v>
      </c>
      <c r="V6">
        <v>1.687497</v>
      </c>
      <c r="W6">
        <v>2.2499959999999999</v>
      </c>
      <c r="X6">
        <v>5.2499919999999998</v>
      </c>
      <c r="Y6">
        <v>7.2187390000000002</v>
      </c>
      <c r="Z6">
        <v>8.4374870000000008</v>
      </c>
      <c r="AA6">
        <v>4.9687419999999998</v>
      </c>
      <c r="AB6">
        <v>2.3437459999999999</v>
      </c>
      <c r="AC6">
        <v>1.4999979999999999</v>
      </c>
      <c r="AD6">
        <v>1.1249979999999999</v>
      </c>
      <c r="AE6">
        <v>0.46874900000000003</v>
      </c>
    </row>
    <row r="7" spans="2:31">
      <c r="B7">
        <v>4</v>
      </c>
      <c r="C7">
        <v>0.91461999999999999</v>
      </c>
      <c r="D7">
        <v>0.64023399999999997</v>
      </c>
      <c r="E7">
        <v>0.64023399999999997</v>
      </c>
      <c r="F7">
        <v>1.189006</v>
      </c>
      <c r="G7">
        <v>1.737778</v>
      </c>
      <c r="H7">
        <v>1.9207019999999999</v>
      </c>
      <c r="I7">
        <v>1.9207019999999999</v>
      </c>
      <c r="J7">
        <v>1.463392</v>
      </c>
      <c r="K7">
        <v>1.6463159999999999</v>
      </c>
      <c r="L7">
        <v>0.82315799999999995</v>
      </c>
      <c r="M7">
        <v>1.2804679999999999</v>
      </c>
      <c r="N7">
        <v>0.27438600000000002</v>
      </c>
      <c r="S7">
        <v>4</v>
      </c>
      <c r="T7">
        <v>0.96310399999999996</v>
      </c>
      <c r="U7">
        <v>0.77048300000000003</v>
      </c>
      <c r="V7">
        <v>1.0594140000000001</v>
      </c>
      <c r="W7">
        <v>2.0225170000000001</v>
      </c>
      <c r="X7">
        <v>2.5040689999999999</v>
      </c>
      <c r="Y7">
        <v>2.7930000000000001</v>
      </c>
      <c r="Z7">
        <v>2.2151380000000001</v>
      </c>
      <c r="AA7">
        <v>2.6003790000000002</v>
      </c>
      <c r="AB7">
        <v>1.7335860000000001</v>
      </c>
      <c r="AC7">
        <v>1.0594140000000001</v>
      </c>
      <c r="AD7">
        <v>1.637276</v>
      </c>
      <c r="AE7">
        <v>0.86679300000000004</v>
      </c>
    </row>
    <row r="8" spans="2:31">
      <c r="B8">
        <v>5</v>
      </c>
      <c r="C8">
        <v>0.33027000000000001</v>
      </c>
      <c r="D8">
        <v>0.77063099999999995</v>
      </c>
      <c r="E8">
        <v>0.55045100000000002</v>
      </c>
      <c r="F8">
        <v>0.77063099999999995</v>
      </c>
      <c r="G8">
        <v>1.3210820000000001</v>
      </c>
      <c r="H8">
        <v>2.421983</v>
      </c>
      <c r="I8">
        <v>1.761442</v>
      </c>
      <c r="J8">
        <v>1.981622</v>
      </c>
      <c r="K8">
        <v>1.871532</v>
      </c>
      <c r="L8">
        <v>0.88072099999999998</v>
      </c>
      <c r="M8">
        <v>0.22017999999999999</v>
      </c>
      <c r="N8">
        <v>0.11008999999999999</v>
      </c>
      <c r="S8">
        <v>5</v>
      </c>
      <c r="T8">
        <v>0.82756300000000005</v>
      </c>
      <c r="U8">
        <v>0.96549099999999999</v>
      </c>
      <c r="V8">
        <v>0.41378199999999998</v>
      </c>
      <c r="W8">
        <v>0.551709</v>
      </c>
      <c r="X8">
        <v>0.82756300000000005</v>
      </c>
      <c r="Y8">
        <v>1.103418</v>
      </c>
      <c r="Z8">
        <v>0.68963600000000003</v>
      </c>
      <c r="AA8">
        <v>0.551709</v>
      </c>
      <c r="AB8">
        <v>0.551709</v>
      </c>
      <c r="AC8">
        <v>1.3792720000000001</v>
      </c>
      <c r="AD8">
        <v>0.551709</v>
      </c>
      <c r="AE8">
        <v>1.103418</v>
      </c>
    </row>
    <row r="9" spans="2:31">
      <c r="B9">
        <v>6</v>
      </c>
      <c r="C9">
        <v>0.55385099999999998</v>
      </c>
      <c r="D9">
        <v>0.73846800000000001</v>
      </c>
      <c r="E9">
        <v>1.1077030000000001</v>
      </c>
      <c r="F9">
        <v>2.4000219999999999</v>
      </c>
      <c r="G9">
        <v>2.2154050000000001</v>
      </c>
      <c r="H9">
        <v>4.8000439999999998</v>
      </c>
      <c r="I9">
        <v>2.9538730000000002</v>
      </c>
      <c r="J9">
        <v>2.7692559999999999</v>
      </c>
      <c r="K9">
        <v>1.753862</v>
      </c>
      <c r="L9">
        <v>1.384628</v>
      </c>
      <c r="M9">
        <v>0.64615999999999996</v>
      </c>
      <c r="N9">
        <v>0.36923400000000001</v>
      </c>
      <c r="S9">
        <v>6</v>
      </c>
      <c r="T9">
        <v>1.4210529999999999</v>
      </c>
      <c r="U9">
        <v>0.94736799999999999</v>
      </c>
      <c r="V9">
        <v>1.5789470000000001</v>
      </c>
      <c r="W9">
        <v>1.263158</v>
      </c>
      <c r="X9">
        <v>1.5789470000000001</v>
      </c>
      <c r="Y9">
        <v>1.5789470000000001</v>
      </c>
      <c r="Z9">
        <v>2.2105260000000002</v>
      </c>
      <c r="AA9">
        <v>1.736842</v>
      </c>
      <c r="AB9">
        <v>1.8947369999999999</v>
      </c>
      <c r="AC9">
        <v>2.052632</v>
      </c>
      <c r="AD9">
        <v>1.736842</v>
      </c>
      <c r="AE9">
        <v>0.78947400000000001</v>
      </c>
    </row>
    <row r="10" spans="2:31">
      <c r="B10">
        <v>7</v>
      </c>
      <c r="C10">
        <v>0.14723800000000001</v>
      </c>
      <c r="D10">
        <v>0.220857</v>
      </c>
      <c r="E10">
        <v>0.58895299999999995</v>
      </c>
      <c r="F10">
        <v>1.398763</v>
      </c>
      <c r="G10">
        <v>4.2699069999999999</v>
      </c>
      <c r="H10">
        <v>6.9201940000000004</v>
      </c>
      <c r="I10">
        <v>5.3741940000000001</v>
      </c>
      <c r="J10">
        <v>3.0920019999999999</v>
      </c>
      <c r="K10">
        <v>1.4723820000000001</v>
      </c>
      <c r="L10">
        <v>0.80981000000000003</v>
      </c>
      <c r="M10">
        <v>0.44171500000000002</v>
      </c>
      <c r="N10">
        <v>0.14723800000000001</v>
      </c>
      <c r="S10">
        <v>7</v>
      </c>
      <c r="T10">
        <v>1.4966729999999999</v>
      </c>
      <c r="U10">
        <v>2.3130410000000001</v>
      </c>
      <c r="V10">
        <v>2.993347</v>
      </c>
      <c r="W10">
        <v>5.1703260000000002</v>
      </c>
      <c r="X10">
        <v>4.7621419999999999</v>
      </c>
      <c r="Y10">
        <v>9.388223</v>
      </c>
      <c r="Z10">
        <v>5.8506320000000001</v>
      </c>
      <c r="AA10">
        <v>6.8030600000000003</v>
      </c>
      <c r="AB10">
        <v>3.6736529999999998</v>
      </c>
      <c r="AC10">
        <v>2.5851630000000001</v>
      </c>
      <c r="AD10">
        <v>2.1769790000000002</v>
      </c>
      <c r="AE10">
        <v>1.632735</v>
      </c>
    </row>
    <row r="11" spans="2:31">
      <c r="B11">
        <v>8</v>
      </c>
      <c r="C11">
        <v>0.21052499999999999</v>
      </c>
      <c r="D11">
        <v>0</v>
      </c>
      <c r="E11">
        <v>0.105263</v>
      </c>
      <c r="F11">
        <v>0.31578800000000001</v>
      </c>
      <c r="G11">
        <v>0.73683799999999999</v>
      </c>
      <c r="H11">
        <v>0.94736299999999996</v>
      </c>
      <c r="I11">
        <v>0.21052499999999999</v>
      </c>
      <c r="J11">
        <v>0.63157600000000003</v>
      </c>
      <c r="K11">
        <v>0.31578800000000001</v>
      </c>
      <c r="L11">
        <v>0.73683799999999999</v>
      </c>
      <c r="M11">
        <v>0.105263</v>
      </c>
      <c r="N11">
        <v>0.21052499999999999</v>
      </c>
      <c r="S11">
        <v>8</v>
      </c>
      <c r="T11">
        <v>1.5938650000000001</v>
      </c>
      <c r="U11">
        <v>1.0625770000000001</v>
      </c>
      <c r="V11">
        <v>2.3907980000000002</v>
      </c>
      <c r="W11">
        <v>2.1251540000000002</v>
      </c>
      <c r="X11">
        <v>2.7892640000000002</v>
      </c>
      <c r="Y11">
        <v>3.3205529999999999</v>
      </c>
      <c r="Z11">
        <v>4.6487740000000004</v>
      </c>
      <c r="AA11">
        <v>2.6564420000000002</v>
      </c>
      <c r="AB11">
        <v>2.7892640000000002</v>
      </c>
      <c r="AC11">
        <v>1.992332</v>
      </c>
      <c r="AD11">
        <v>0.929755</v>
      </c>
      <c r="AE11">
        <v>1.85951</v>
      </c>
    </row>
    <row r="12" spans="2:31">
      <c r="B12">
        <v>9</v>
      </c>
      <c r="C12">
        <v>0.88888</v>
      </c>
      <c r="D12">
        <v>0.59258699999999997</v>
      </c>
      <c r="E12">
        <v>1.0370269999999999</v>
      </c>
      <c r="F12">
        <v>1.77776</v>
      </c>
      <c r="G12">
        <v>1.4814670000000001</v>
      </c>
      <c r="H12">
        <v>2.6666400000000001</v>
      </c>
      <c r="I12">
        <v>2.9629340000000002</v>
      </c>
      <c r="J12">
        <v>1.77776</v>
      </c>
      <c r="K12">
        <v>1.4814670000000001</v>
      </c>
      <c r="L12">
        <v>0.59258699999999997</v>
      </c>
      <c r="M12">
        <v>0.59258699999999997</v>
      </c>
      <c r="N12">
        <v>0.148147</v>
      </c>
      <c r="S12">
        <v>9</v>
      </c>
      <c r="T12">
        <v>0.25728400000000001</v>
      </c>
      <c r="U12">
        <v>2.0582750000000001</v>
      </c>
      <c r="V12">
        <v>3.087412</v>
      </c>
      <c r="W12">
        <v>3.6019809999999999</v>
      </c>
      <c r="X12">
        <v>6.6893929999999999</v>
      </c>
      <c r="Y12">
        <v>6.6893929999999999</v>
      </c>
      <c r="Z12">
        <v>7.2039619999999998</v>
      </c>
      <c r="AA12">
        <v>6.4321089999999996</v>
      </c>
      <c r="AB12">
        <v>3.8592650000000002</v>
      </c>
      <c r="AC12">
        <v>2.0582750000000001</v>
      </c>
      <c r="AD12">
        <v>2.3155589999999999</v>
      </c>
      <c r="AE12">
        <v>2.5728439999999999</v>
      </c>
    </row>
    <row r="13" spans="2:31">
      <c r="B13">
        <v>10</v>
      </c>
      <c r="C13">
        <v>0.66692700000000005</v>
      </c>
      <c r="D13">
        <v>1.000391</v>
      </c>
      <c r="E13">
        <v>1.2226999999999999</v>
      </c>
      <c r="F13">
        <v>1.111545</v>
      </c>
      <c r="G13">
        <v>1.5561640000000001</v>
      </c>
      <c r="H13">
        <v>2.2230910000000002</v>
      </c>
      <c r="I13">
        <v>3.0011730000000001</v>
      </c>
      <c r="J13">
        <v>2.4453999999999998</v>
      </c>
      <c r="K13">
        <v>0.66692700000000005</v>
      </c>
      <c r="L13">
        <v>1.111545</v>
      </c>
      <c r="M13">
        <v>0.66692700000000005</v>
      </c>
      <c r="N13">
        <v>0.55577299999999996</v>
      </c>
      <c r="S13">
        <v>10</v>
      </c>
      <c r="T13">
        <v>1.476429</v>
      </c>
      <c r="U13">
        <v>1.919357</v>
      </c>
      <c r="V13">
        <v>2.657572</v>
      </c>
      <c r="W13">
        <v>1.7717149999999999</v>
      </c>
      <c r="X13">
        <v>2.952858</v>
      </c>
      <c r="Y13">
        <v>4.1340009999999996</v>
      </c>
      <c r="Z13">
        <v>5.1675009999999997</v>
      </c>
      <c r="AA13">
        <v>2.3622860000000001</v>
      </c>
      <c r="AB13">
        <v>1.7717149999999999</v>
      </c>
      <c r="AC13">
        <v>2.657572</v>
      </c>
      <c r="AD13">
        <v>2.3622860000000001</v>
      </c>
      <c r="AE13">
        <v>1.919357</v>
      </c>
    </row>
    <row r="14" spans="2:31">
      <c r="S14">
        <v>11</v>
      </c>
      <c r="T14">
        <v>1.7449349999999999</v>
      </c>
      <c r="U14">
        <v>2.6687240000000001</v>
      </c>
      <c r="V14">
        <v>1.950221</v>
      </c>
      <c r="W14">
        <v>3.18194</v>
      </c>
      <c r="X14">
        <v>3.18194</v>
      </c>
      <c r="Y14">
        <v>4.3110160000000004</v>
      </c>
      <c r="Z14">
        <v>3.4898699999999998</v>
      </c>
      <c r="AA14">
        <v>6.4665239999999997</v>
      </c>
      <c r="AB14">
        <v>2.3607939999999998</v>
      </c>
      <c r="AC14">
        <v>2.2581509999999998</v>
      </c>
      <c r="AD14">
        <v>2.1555080000000002</v>
      </c>
      <c r="AE14">
        <v>2.0528650000000002</v>
      </c>
    </row>
    <row r="15" spans="2:31">
      <c r="S15">
        <v>12</v>
      </c>
      <c r="T15">
        <v>2.374018</v>
      </c>
      <c r="U15">
        <v>2.2421280000000001</v>
      </c>
      <c r="V15">
        <v>1.978348</v>
      </c>
      <c r="W15">
        <v>2.5059079999999998</v>
      </c>
      <c r="X15">
        <v>4.4842560000000002</v>
      </c>
      <c r="Y15">
        <v>5.275595</v>
      </c>
      <c r="Z15">
        <v>5.1437049999999997</v>
      </c>
      <c r="AA15">
        <v>4.6161459999999996</v>
      </c>
      <c r="AB15">
        <v>3.8248060000000002</v>
      </c>
      <c r="AC15">
        <v>2.6377969999999999</v>
      </c>
      <c r="AD15">
        <v>1.7145680000000001</v>
      </c>
      <c r="AE15">
        <v>1.978348</v>
      </c>
    </row>
    <row r="16" spans="2:31">
      <c r="S16">
        <v>13</v>
      </c>
      <c r="T16">
        <v>1.852026</v>
      </c>
      <c r="U16">
        <v>1.852026</v>
      </c>
      <c r="V16">
        <v>2.7293020000000001</v>
      </c>
      <c r="W16">
        <v>3.704053</v>
      </c>
      <c r="X16">
        <v>4.7762779999999996</v>
      </c>
      <c r="Y16">
        <v>6.8232549999999996</v>
      </c>
      <c r="Z16">
        <v>6.1409289999999999</v>
      </c>
      <c r="AA16">
        <v>5.4586040000000002</v>
      </c>
      <c r="AB16">
        <v>3.6065779999999998</v>
      </c>
      <c r="AC16">
        <v>2.3394020000000002</v>
      </c>
      <c r="AD16">
        <v>2.3394020000000002</v>
      </c>
      <c r="AE16">
        <v>1.2671760000000001</v>
      </c>
    </row>
    <row r="18" spans="3:10">
      <c r="C18" t="s">
        <v>160</v>
      </c>
      <c r="H18" t="s">
        <v>109</v>
      </c>
    </row>
    <row r="19" spans="3:10" ht="15.75" thickBot="1">
      <c r="D19" t="s">
        <v>196</v>
      </c>
      <c r="E19" t="s">
        <v>197</v>
      </c>
      <c r="I19" t="s">
        <v>199</v>
      </c>
      <c r="J19" t="s">
        <v>200</v>
      </c>
    </row>
    <row r="20" spans="3:10">
      <c r="C20" s="4"/>
      <c r="D20" s="4" t="s">
        <v>97</v>
      </c>
      <c r="E20" s="4" t="s">
        <v>98</v>
      </c>
      <c r="H20" s="4"/>
      <c r="I20" s="4" t="s">
        <v>97</v>
      </c>
      <c r="J20" s="4" t="s">
        <v>98</v>
      </c>
    </row>
    <row r="21" spans="3:10">
      <c r="C21" t="s">
        <v>99</v>
      </c>
      <c r="D21">
        <v>3.1866711818181814</v>
      </c>
      <c r="E21">
        <v>4.7625588571428574</v>
      </c>
      <c r="H21" t="s">
        <v>99</v>
      </c>
      <c r="I21">
        <v>3.1866711818181814</v>
      </c>
      <c r="J21">
        <v>4.7625588571428574</v>
      </c>
    </row>
    <row r="22" spans="3:10">
      <c r="C22" t="s">
        <v>100</v>
      </c>
      <c r="D22">
        <v>4.6360862014693662</v>
      </c>
      <c r="E22">
        <v>5.7209807616301305</v>
      </c>
      <c r="H22" t="s">
        <v>100</v>
      </c>
      <c r="I22">
        <v>4.6360862014693662</v>
      </c>
      <c r="J22">
        <v>5.7209807616301305</v>
      </c>
    </row>
    <row r="23" spans="3:10">
      <c r="C23" t="s">
        <v>101</v>
      </c>
      <c r="D23">
        <v>11</v>
      </c>
      <c r="E23">
        <v>14</v>
      </c>
      <c r="H23" t="s">
        <v>101</v>
      </c>
      <c r="I23">
        <v>11</v>
      </c>
      <c r="J23">
        <v>14</v>
      </c>
    </row>
    <row r="24" spans="3:10">
      <c r="C24" t="s">
        <v>103</v>
      </c>
      <c r="D24">
        <v>10</v>
      </c>
      <c r="E24">
        <v>13</v>
      </c>
      <c r="H24" t="s">
        <v>110</v>
      </c>
      <c r="I24">
        <v>5.2492874746037117</v>
      </c>
    </row>
    <row r="25" spans="3:10">
      <c r="C25" t="s">
        <v>128</v>
      </c>
      <c r="D25">
        <v>0.81036563390721217</v>
      </c>
      <c r="H25" t="s">
        <v>102</v>
      </c>
      <c r="I25">
        <v>0</v>
      </c>
    </row>
    <row r="26" spans="3:10">
      <c r="C26" t="s">
        <v>161</v>
      </c>
      <c r="D26">
        <v>0.37531255241462402</v>
      </c>
      <c r="H26" t="s">
        <v>103</v>
      </c>
      <c r="I26">
        <v>23</v>
      </c>
    </row>
    <row r="27" spans="3:10" ht="15.75" thickBot="1">
      <c r="C27" s="3" t="s">
        <v>162</v>
      </c>
      <c r="D27" s="3">
        <v>0.34635936731356898</v>
      </c>
      <c r="E27" s="3"/>
      <c r="H27" t="s">
        <v>104</v>
      </c>
      <c r="I27">
        <v>-1.7071254481459661</v>
      </c>
    </row>
    <row r="28" spans="3:10">
      <c r="H28" t="s">
        <v>105</v>
      </c>
      <c r="I28">
        <v>5.0632689909300602E-2</v>
      </c>
    </row>
    <row r="29" spans="3:10">
      <c r="H29" t="s">
        <v>106</v>
      </c>
      <c r="I29">
        <v>1.7138715277470482</v>
      </c>
    </row>
    <row r="30" spans="3:10">
      <c r="H30" t="s">
        <v>107</v>
      </c>
      <c r="I30">
        <v>0.101265379818601</v>
      </c>
    </row>
    <row r="31" spans="3:10" ht="15.75" thickBot="1">
      <c r="H31" s="3" t="s">
        <v>108</v>
      </c>
      <c r="I31" s="3">
        <v>2.0686576104190491</v>
      </c>
      <c r="J31" s="3"/>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BC84-23BA-464A-9765-728455CFA12E}">
  <dimension ref="B3:G17"/>
  <sheetViews>
    <sheetView topLeftCell="A5" workbookViewId="0">
      <selection activeCell="C13" sqref="C13"/>
    </sheetView>
  </sheetViews>
  <sheetFormatPr defaultRowHeight="15"/>
  <cols>
    <col min="2" max="2" width="14.5703125" customWidth="1"/>
    <col min="3" max="3" width="11" customWidth="1"/>
    <col min="4" max="4" width="23.5703125" customWidth="1"/>
    <col min="5" max="5" width="24.42578125" customWidth="1"/>
    <col min="6" max="6" width="23.140625" customWidth="1"/>
    <col min="7" max="7" width="27" customWidth="1"/>
  </cols>
  <sheetData>
    <row r="3" spans="2:7" ht="30">
      <c r="B3" s="15" t="s">
        <v>212</v>
      </c>
      <c r="C3" s="15" t="s">
        <v>201</v>
      </c>
      <c r="D3" s="15" t="s">
        <v>202</v>
      </c>
      <c r="E3" s="15" t="s">
        <v>203</v>
      </c>
      <c r="F3" s="15" t="s">
        <v>205</v>
      </c>
      <c r="G3" s="15" t="s">
        <v>204</v>
      </c>
    </row>
    <row r="4" spans="2:7" ht="45">
      <c r="B4" s="16" t="s">
        <v>213</v>
      </c>
      <c r="C4" s="16" t="s">
        <v>206</v>
      </c>
      <c r="D4" s="16" t="s">
        <v>207</v>
      </c>
      <c r="E4" s="16" t="s">
        <v>206</v>
      </c>
      <c r="F4" s="16" t="s">
        <v>208</v>
      </c>
      <c r="G4" s="16" t="s">
        <v>209</v>
      </c>
    </row>
    <row r="5" spans="2:7" ht="409.5">
      <c r="B5" s="17" t="s">
        <v>218</v>
      </c>
      <c r="C5" s="16"/>
      <c r="D5" s="16" t="s">
        <v>220</v>
      </c>
      <c r="E5" s="16" t="s">
        <v>221</v>
      </c>
      <c r="F5" s="16" t="s">
        <v>223</v>
      </c>
      <c r="G5" s="16" t="s">
        <v>222</v>
      </c>
    </row>
    <row r="6" spans="2:7" ht="60">
      <c r="B6" s="16" t="s">
        <v>210</v>
      </c>
      <c r="C6" s="16" t="s">
        <v>211</v>
      </c>
      <c r="D6" s="16" t="s">
        <v>217</v>
      </c>
      <c r="E6" s="16" t="s">
        <v>216</v>
      </c>
      <c r="F6" s="16" t="s">
        <v>215</v>
      </c>
      <c r="G6" s="16" t="s">
        <v>214</v>
      </c>
    </row>
    <row r="7" spans="2:7" ht="30">
      <c r="B7" s="16" t="s">
        <v>219</v>
      </c>
      <c r="C7" s="16"/>
      <c r="D7" s="16"/>
      <c r="E7" s="16"/>
      <c r="F7" s="16"/>
      <c r="G7" s="16"/>
    </row>
    <row r="8" spans="2:7">
      <c r="B8" s="16"/>
      <c r="C8" s="16"/>
      <c r="D8" s="16"/>
      <c r="E8" s="16"/>
      <c r="F8" s="16"/>
      <c r="G8" s="16"/>
    </row>
    <row r="9" spans="2:7">
      <c r="B9" s="16"/>
      <c r="C9" s="16"/>
      <c r="D9" s="16"/>
      <c r="E9" s="16"/>
      <c r="F9" s="16"/>
      <c r="G9" s="16"/>
    </row>
    <row r="13" spans="2:7">
      <c r="D13" t="s">
        <v>230</v>
      </c>
    </row>
    <row r="14" spans="2:7">
      <c r="D14" t="s">
        <v>231</v>
      </c>
    </row>
    <row r="15" spans="2:7">
      <c r="D15" t="s">
        <v>232</v>
      </c>
    </row>
    <row r="16" spans="2:7">
      <c r="D16" t="s">
        <v>233</v>
      </c>
    </row>
    <row r="17" spans="4:4">
      <c r="D17" t="s">
        <v>234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E6BF80-573F-463D-BEB4-4BAB8F90CD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BlinkDurationMS</vt:lpstr>
      <vt:lpstr>BlinkRateMinute</vt:lpstr>
      <vt:lpstr>SyncedBlink%</vt:lpstr>
      <vt:lpstr>MeanBlinkAsyncMS</vt:lpstr>
      <vt:lpstr>AsyncBlinkTimeWindow</vt:lpstr>
      <vt:lpstr>Discussion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Georgiana Cristina Dobre</dc:creator>
  <cp:lastModifiedBy>Georgiana Cristina Dobre</cp:lastModifiedBy>
  <dcterms:created xsi:type="dcterms:W3CDTF">2015-06-05T18:17:20Z</dcterms:created>
  <dcterms:modified xsi:type="dcterms:W3CDTF">2025-09-10T11:47:45Z</dcterms:modified>
</cp:coreProperties>
</file>