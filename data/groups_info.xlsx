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3BFA9684-43EF-4D7B-ABEB-16DA5D1160CA}" xr6:coauthVersionLast="47" xr6:coauthVersionMax="47" xr10:uidLastSave="{00000000-0000-0000-0000-000000000000}"/>
  <bookViews>
    <workbookView xWindow="-120" yWindow="-120" windowWidth="29040" windowHeight="15720" activeTab="1" xr2:uid="{00000000-000D-0000-FFFF-FFFF00000000}"/>
  </bookViews>
  <sheets>
    <sheet name="Sheet1" sheetId="1" r:id="rId1"/>
    <sheet name="BlinkRateMinute"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2" l="1"/>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 r="D14" i="2"/>
</calcChain>
</file>

<file path=xl/sharedStrings.xml><?xml version="1.0" encoding="utf-8"?>
<sst xmlns="http://schemas.openxmlformats.org/spreadsheetml/2006/main" count="212" uniqueCount="141">
  <si>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</si>
  <si>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</si>
  <si>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</si>
  <si>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</si>
  <si>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</si>
  <si>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</si>
  <si>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</si>
  <si>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</si>
  <si>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</si>
  <si>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</si>
  <si>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</si>
  <si>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</si>
  <si>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</si>
  <si>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</si>
  <si>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</si>
  <si>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</si>
  <si>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</si>
  <si>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</si>
  <si>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</si>
  <si>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</si>
  <si>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</si>
  <si>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</si>
  <si>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</si>
  <si>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</si>
  <si>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</si>
  <si>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</si>
  <si>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</si>
  <si>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</si>
  <si>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</si>
  <si>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</si>
  <si>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</si>
  <si>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</si>
  <si>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</si>
  <si>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</si>
  <si>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</si>
  <si>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</si>
  <si>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</si>
  <si>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</si>
  <si>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</si>
  <si>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</si>
  <si>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</si>
  <si>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</si>
  <si>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</si>
  <si>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</si>
  <si>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</si>
  <si>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</si>
  <si>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</si>
  <si>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</si>
  <si>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</si>
  <si>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</si>
  <si>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</si>
  <si>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</si>
  <si>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</si>
  <si>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</si>
  <si>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</si>
  <si>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</si>
  <si>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</si>
  <si>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</si>
  <si>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</si>
  <si>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</si>
  <si>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</si>
  <si>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</si>
  <si>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</si>
  <si>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</si>
  <si>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</si>
  <si>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</si>
  <si>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</si>
  <si>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</si>
  <si>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</si>
  <si>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</si>
  <si>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</si>
  <si>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</si>
  <si>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</si>
  <si>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</si>
  <si>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</si>
  <si>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</si>
  <si>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</si>
  <si>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</si>
  <si>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</si>
  <si>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</si>
  <si>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</si>
  <si>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</si>
  <si>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</si>
  <si>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</si>
  <si>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</si>
  <si>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</si>
  <si>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</si>
  <si>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</si>
  <si>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</si>
  <si>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</si>
  <si>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</si>
  <si>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</si>
  <si>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</si>
  <si>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</si>
  <si>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</si>
  <si>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</si>
  <si>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</si>
  <si>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</si>
  <si>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</si>
  <si>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</si>
  <si>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</si>
  <si>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</si>
  <si>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</si>
  <si>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</si>
  <si>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</si>
  <si>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</si>
  <si>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</si>
  <si>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</si>
  <si>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</si>
  <si>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Unequal Variances</t>
  </si>
  <si>
    <t>t-Test: Two-Sample Assuming Equal Variances</t>
  </si>
  <si>
    <t>Pooled Variance</t>
  </si>
  <si>
    <t>Triad_rates_per_person</t>
  </si>
  <si>
    <t>Dyad_rates_per_person</t>
  </si>
  <si>
    <t xml:space="preserve">here is for individual's blink rate </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</si>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</sst>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s>
  <fills count="3">
    <fill>
      <patternFill patternType="none"/>
    </fill>
    <fill>
      <patternFill patternType="gray125"/>
    </fill>
    <fill>
      <patternFill patternType="solid">
        <fgColor rgb="FFFF00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3">
    <xf numFmtId="0" fontId="0" fillId="0" borderId="0" xfId="0"/>
    <xf numFmtId="49" fontId="0" fillId="0" borderId="0" xfId="0" applyNumberFormat="1"/>
    <xf numFmtId="0" fontId="2" fillId="0" borderId="0" xfId="0" applyFont="1" applyAlignment="1">
      <alignment vertical="center"/>
    </xf>
    <xf numFmtId="0" fontId="2" fillId="0" borderId="0" xfId="0" applyNumberFormat="1" applyFont="1" applyAlignment="1">
      <alignment vertical="center"/>
    </xf>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Fill="1" applyBorder="1" applyAlignment="1">
      <alignment horizontal="centerContinuous"/>
    </xf>
    <xf numFmtId="0" fontId="0" fillId="0" borderId="0" xfId="0" applyBorder="1"/>
    <xf numFmtId="0" fontId="3" fillId="0" borderId="0" xfId="0" applyFont="1" applyFill="1" applyBorder="1" applyAlignment="1">
      <alignment horizontal="center"/>
    </xf>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r=-0.072, p=</a:t>
                    </a:r>
                    <a:r>
                      <a:rPr lang="en-GB" sz="900" b="0" i="0" u="none" strike="noStrike" baseline="0">
                        <a:effectLst/>
                      </a:rPr>
                      <a:t>.988</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BlinkRateMinute!$E$2:$E$11</c:f>
              <c:numCache>
                <c:formatCode>General</c:formatCode>
                <c:ptCount val="10"/>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numCache>
            </c:numRef>
          </c:xVal>
          <c:yVal>
            <c:numRef>
              <c:f>BlinkRateMinute!$D$2:$D$11</c:f>
              <c:numCache>
                <c:formatCode>General</c:formatCode>
                <c:ptCount val="10"/>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BlinkRateMinute!$L$2:$L$10</c15:sqref>
                        </c15:formulaRef>
                      </c:ext>
                    </c:extLst>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BlinkRateMinute!$K$2:$K$10</c15:sqref>
                        </c15:formulaRef>
                      </c:ext>
                    </c:extLst>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BlinkRateMinute!$O$2:$O$10</c:f>
              <c:numCache>
                <c:formatCode>General</c:formatCode>
                <c:ptCount val="9"/>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BlinkRateMinute!$N$2:$N$10</c:f>
              <c:numCache>
                <c:formatCode>General</c:formatCode>
                <c:ptCount val="9"/>
                <c:pt idx="0">
                  <c:v>24.6965565</c:v>
                </c:pt>
                <c:pt idx="1">
                  <c:v>16.377022500000002</c:v>
                </c:pt>
                <c:pt idx="2">
                  <c:v>12.410904</c:v>
                </c:pt>
                <c:pt idx="3">
                  <c:v>41.156185499999999</c:v>
                </c:pt>
                <c:pt idx="4">
                  <c:v>18.539742499999999</c:v>
                </c:pt>
                <c:pt idx="5">
                  <c:v>8.2066704999999995</c:v>
                </c:pt>
                <c:pt idx="6">
                  <c:v>13.1052635</c:v>
                </c:pt>
                <c:pt idx="7">
                  <c:v>23.946773</c:v>
                </c:pt>
                <c:pt idx="8">
                  <c:v>24.5056805</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xVal>
          <c:yVal>
            <c:numRef>
              <c:f>BlinkRateMinute!$M$2:$M$10</c:f>
              <c:numCache>
                <c:formatCode>General</c:formatCode>
                <c:ptCount val="9"/>
                <c:pt idx="0">
                  <c:v>20.000162</c:v>
                </c:pt>
                <c:pt idx="1">
                  <c:v>23.9507805</c:v>
                </c:pt>
                <c:pt idx="2">
                  <c:v>6.8378550000000002</c:v>
                </c:pt>
                <c:pt idx="3">
                  <c:v>15.984349999999999</c:v>
                </c:pt>
                <c:pt idx="4">
                  <c:v>10.979379999999999</c:v>
                </c:pt>
                <c:pt idx="5">
                  <c:v>10.068688</c:v>
                </c:pt>
                <c:pt idx="6">
                  <c:v>16.5</c:v>
                </c:pt>
                <c:pt idx="7">
                  <c:v>20.273119999999999</c:v>
                </c:pt>
                <c:pt idx="8">
                  <c:v>20.587427999999999</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3.659652299560115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200025</xdr:colOff>
      <xdr:row>21</xdr:row>
      <xdr:rowOff>169862</xdr:rowOff>
    </xdr:from>
    <xdr:to>
      <xdr:col>4</xdr:col>
      <xdr:colOff>168275</xdr:colOff>
      <xdr:row>37</xdr:row>
      <xdr:rowOff>20637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430212</xdr:colOff>
      <xdr:row>12</xdr:row>
      <xdr:rowOff>87312</xdr:rowOff>
    </xdr:from>
    <xdr:to>
      <xdr:col>8</xdr:col>
      <xdr:colOff>3779837</xdr:colOff>
      <xdr:row>27</xdr:row>
      <xdr:rowOff>112712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444500</xdr:colOff>
      <xdr:row>29</xdr:row>
      <xdr:rowOff>133350</xdr:rowOff>
    </xdr:from>
    <xdr:to>
      <xdr:col>8</xdr:col>
      <xdr:colOff>3806825</xdr:colOff>
      <xdr:row>44</xdr:row>
      <xdr:rowOff>161925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387350</xdr:colOff>
      <xdr:row>12</xdr:row>
      <xdr:rowOff>63499</xdr:rowOff>
    </xdr:from>
    <xdr:to>
      <xdr:col>14</xdr:col>
      <xdr:colOff>95250</xdr:colOff>
      <xdr:row>27</xdr:row>
      <xdr:rowOff>95249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361950</xdr:colOff>
      <xdr:row>0</xdr:row>
      <xdr:rowOff>101599</xdr:rowOff>
    </xdr:from>
    <xdr:to>
      <xdr:col>22</xdr:col>
      <xdr:colOff>466725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120650</xdr:colOff>
      <xdr:row>50</xdr:row>
      <xdr:rowOff>17462</xdr:rowOff>
    </xdr:from>
    <xdr:to>
      <xdr:col>8</xdr:col>
      <xdr:colOff>3473450</xdr:colOff>
      <xdr:row>65</xdr:row>
      <xdr:rowOff>11112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1" totalsRowShown="0" dataDxfId="10">
  <autoFilter ref="C1:F11" xr:uid="{AD080257-BFA1-460B-B07A-36A64761A16A}"/>
  <tableColumns count="4">
    <tableColumn id="1" xr3:uid="{4F27821A-74B4-4054-BD57-59CB04F69638}" name="Group" dataDxfId="13"/>
    <tableColumn id="2" xr3:uid="{40FF8A35-FADD-40F8-9C7C-8272D131492D}" name="P1" dataDxfId="12"/>
    <tableColumn id="3" xr3:uid="{57E54AEA-9EE5-4960-BBF2-37C5CACE9F4B}" name="P2" dataDxfId="11"/>
    <tableColumn id="4" xr3:uid="{9B5C91BC-FC38-40B1-900E-1D679A89BBE9}" name="P1_P2_AVG" dataDxfId="1">
      <calculatedColumnFormula>AVERAGE(Table1[[#This Row],[P1]]:Table1[[#This Row],[P2]])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0" totalsRowShown="0" dataDxfId="5">
  <autoFilter ref="I1:P10" xr:uid="{1613B083-0BCB-449A-A18A-943282863FFE}"/>
  <tableColumns count="8">
    <tableColumn id="1" xr3:uid="{4B00F100-EEAB-4176-8F7C-64576AF95E9C}" name="Group" dataDxfId="9"/>
    <tableColumn id="2" xr3:uid="{0C1C6D39-9F0B-4EFB-8FFF-6819FFEE1A73}" name="P1" dataDxfId="8"/>
    <tableColumn id="3" xr3:uid="{4B646295-E6BA-4208-9890-BF77B7CC4DB0}" name="P2" dataDxfId="7"/>
    <tableColumn id="4" xr3:uid="{90141FC2-ED7D-4A6B-AFC1-04A51D13EAB7}" name="P3" dataDxfId="6"/>
    <tableColumn id="5" xr3:uid="{45EA91F4-80A5-4D09-8BA5-58CA8E684F50}" name="avg_P1P2" dataDxfId="4">
      <calculatedColumnFormula>AVERAGE(Table2[[#This Row],[P1]:[P2]])</calculatedColumnFormula>
    </tableColumn>
    <tableColumn id="6" xr3:uid="{8D95483F-1D1F-4BC0-9A13-DB0617692381}" name="avg_P1P3" dataDxfId="3">
      <calculatedColumnFormula>AVERAGE(J2,L2)</calculatedColumnFormula>
    </tableColumn>
    <tableColumn id="7" xr3:uid="{CEE85F33-BF2F-4114-920C-22ACF0374CF1}" name="avg_P2P3" dataDxfId="2">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6"/>
  <sheetViews>
    <sheetView workbookViewId="0">
      <selection activeCell="C28" sqref="C28"/>
    </sheetView>
  </sheetViews>
  <sheetFormatPr defaultRowHeight="14.5"/>
  <cols>
    <col min="1" max="1" width="54.6328125" customWidth="1"/>
    <col min="2" max="2" width="22.81640625" customWidth="1"/>
    <col min="3" max="3" width="2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t="s">
        <v>68</v>
      </c>
      <c r="B14" s="1" t="s">
        <v>32</v>
      </c>
      <c r="C14" s="1" t="s">
        <v>33</v>
      </c>
      <c r="D14">
        <v>1</v>
      </c>
      <c r="E14">
        <v>0</v>
      </c>
      <c r="G14" t="s">
        <v>34</v>
      </c>
    </row>
    <row r="15" spans="1:7">
      <c r="A15" t="s">
        <v>69</v>
      </c>
      <c r="B15" s="1" t="s">
        <v>35</v>
      </c>
      <c r="C15" s="1" t="s">
        <v>36</v>
      </c>
      <c r="D15">
        <v>1</v>
      </c>
      <c r="E15">
        <v>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25"/>
  <sheetViews>
    <sheetView tabSelected="1" topLeftCell="I26" workbookViewId="0">
      <selection activeCell="I57" sqref="I57"/>
    </sheetView>
  </sheetViews>
  <sheetFormatPr defaultRowHeight="14.5"/>
  <cols>
    <col min="3" max="3" width="57.1796875" customWidth="1"/>
    <col min="4" max="4" width="13" customWidth="1"/>
    <col min="9" max="9" width="58.26953125" customWidth="1"/>
    <col min="13" max="13" width="13" customWidth="1"/>
    <col min="14" max="14" width="11.81640625" customWidth="1"/>
    <col min="15" max="15" width="11.9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9">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3">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3">
        <f>AVERAGE(Table2[[#This Row],[P1]],Table2[[#This Row],[P2]],Table2[[#This Row],[P3]])</f>
        <v>20.852425</v>
      </c>
    </row>
    <row r="4" spans="3:16">
      <c r="C4" s="2" t="s">
        <v>62</v>
      </c>
      <c r="D4" s="2">
        <v>32.033904</v>
      </c>
      <c r="E4" s="2">
        <v>34.357607000000002</v>
      </c>
      <c r="F4" s="2">
        <f>AVERAGE(Table1[[#This Row],[P1]]:Table1[[#This Row],[P2]])</f>
        <v>33.195755500000004</v>
      </c>
      <c r="I4" s="2" t="s">
        <v>69</v>
      </c>
      <c r="J4" s="9">
        <v>2.2134100000000001</v>
      </c>
      <c r="K4" s="2">
        <v>11.462300000000001</v>
      </c>
      <c r="L4" s="2">
        <v>22.608398000000001</v>
      </c>
      <c r="M4" s="2">
        <f>AVERAGE(Table2[[#This Row],[P1]:[P2]])</f>
        <v>6.8378550000000002</v>
      </c>
      <c r="N4" s="2">
        <f t="shared" si="0"/>
        <v>12.410904</v>
      </c>
      <c r="O4" s="2">
        <f>AVERAGE(Table2[[#This Row],[P2]]:Table2[[#This Row],[P3]])</f>
        <v>17.035349</v>
      </c>
      <c r="P4" s="3">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9">
        <v>58.124909000000002</v>
      </c>
      <c r="M5" s="2">
        <f>AVERAGE(Table2[[#This Row],[P1]:[P2]])</f>
        <v>15.984349999999999</v>
      </c>
      <c r="N5" s="2">
        <f t="shared" si="0"/>
        <v>41.156185499999999</v>
      </c>
      <c r="O5" s="2">
        <f>AVERAGE(Table2[[#This Row],[P2]]:Table2[[#This Row],[P3]])</f>
        <v>32.953073500000002</v>
      </c>
      <c r="P5" s="3">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3">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3">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3">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3">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3">
        <f>AVERAGE(Table2[[#This Row],[P1]],Table2[[#This Row],[P2]],Table2[[#This Row],[P3]])</f>
        <v>19.701947333333333</v>
      </c>
    </row>
    <row r="11" spans="3:16">
      <c r="C11" s="2" t="s">
        <v>54</v>
      </c>
      <c r="D11" s="2">
        <v>27.407136999999999</v>
      </c>
      <c r="E11" s="2">
        <v>20.296095999999999</v>
      </c>
      <c r="F11" s="2">
        <f>AVERAGE(Table1[[#This Row],[P1]]:Table1[[#This Row],[P2]])</f>
        <v>23.851616499999999</v>
      </c>
    </row>
    <row r="13" spans="3:16">
      <c r="D13" t="s">
        <v>91</v>
      </c>
    </row>
    <row r="14" spans="3:16">
      <c r="D14">
        <f>CORREL(Table1[P1],Table1[P2])</f>
        <v>-7.203443722093221E-2</v>
      </c>
    </row>
    <row r="23" spans="11:27" ht="15" thickBot="1"/>
    <row r="24" spans="11:27">
      <c r="Y24" s="6"/>
      <c r="Z24" s="6"/>
      <c r="AA24" s="6"/>
    </row>
    <row r="25" spans="11:27">
      <c r="Y25" s="4"/>
      <c r="Z25" s="4"/>
      <c r="AA25" s="4"/>
    </row>
    <row r="26" spans="11:27">
      <c r="Y26" s="4"/>
      <c r="Z26" s="4"/>
      <c r="AA26" s="4"/>
    </row>
    <row r="27" spans="11:27">
      <c r="Y27" s="4"/>
      <c r="Z27" s="4"/>
      <c r="AA27" s="4"/>
    </row>
    <row r="28" spans="11:27">
      <c r="Y28" s="4"/>
      <c r="Z28" s="4"/>
      <c r="AA28" s="4"/>
    </row>
    <row r="29" spans="11:27">
      <c r="Y29" s="4"/>
      <c r="Z29" s="4"/>
      <c r="AA29" s="4"/>
    </row>
    <row r="30" spans="11:27">
      <c r="Y30" s="4"/>
      <c r="Z30" s="4"/>
      <c r="AA30" s="4"/>
    </row>
    <row r="31" spans="11:27">
      <c r="Y31" s="4"/>
      <c r="Z31" s="4"/>
      <c r="AA31" s="4"/>
    </row>
    <row r="32" spans="11:27">
      <c r="K32" s="8" t="s">
        <v>109</v>
      </c>
      <c r="Y32" s="4"/>
      <c r="Z32" s="4"/>
      <c r="AA32" s="4"/>
    </row>
    <row r="33" spans="4:27" ht="15" thickBot="1">
      <c r="K33" s="7" t="s">
        <v>115</v>
      </c>
      <c r="Y33" s="4"/>
      <c r="Z33" s="4"/>
      <c r="AA33" s="4"/>
    </row>
    <row r="34" spans="4:27">
      <c r="K34" s="6"/>
      <c r="L34" s="6" t="s">
        <v>97</v>
      </c>
      <c r="M34" s="6" t="s">
        <v>98</v>
      </c>
      <c r="Y34" s="4"/>
      <c r="Z34" s="4"/>
      <c r="AA34" s="4"/>
    </row>
    <row r="35" spans="4:27" ht="15" thickBot="1">
      <c r="K35" s="4" t="s">
        <v>99</v>
      </c>
      <c r="L35" s="4">
        <v>18.961834148148149</v>
      </c>
      <c r="M35" s="4">
        <v>28.455410500000006</v>
      </c>
      <c r="Y35" s="5"/>
      <c r="Z35" s="5"/>
      <c r="AA35" s="5"/>
    </row>
    <row r="36" spans="4:27">
      <c r="K36" s="4" t="s">
        <v>100</v>
      </c>
      <c r="L36" s="4">
        <v>49.486806798110422</v>
      </c>
      <c r="M36" s="4">
        <v>80.447471020117121</v>
      </c>
    </row>
    <row r="37" spans="4:27">
      <c r="K37" s="4" t="s">
        <v>101</v>
      </c>
      <c r="L37" s="4">
        <v>9</v>
      </c>
      <c r="M37" s="4">
        <v>10</v>
      </c>
    </row>
    <row r="38" spans="4:27">
      <c r="K38" s="4" t="s">
        <v>102</v>
      </c>
      <c r="L38" s="4">
        <v>0</v>
      </c>
      <c r="M38" s="4"/>
    </row>
    <row r="39" spans="4:27">
      <c r="K39" s="4" t="s">
        <v>103</v>
      </c>
      <c r="L39" s="4">
        <v>17</v>
      </c>
      <c r="M39" s="4"/>
    </row>
    <row r="40" spans="4:27">
      <c r="K40" s="4" t="s">
        <v>104</v>
      </c>
      <c r="L40" s="4">
        <v>-2.5796922549107779</v>
      </c>
      <c r="M40" s="4"/>
      <c r="Q40" t="s">
        <v>112</v>
      </c>
      <c r="R40" t="s">
        <v>113</v>
      </c>
    </row>
    <row r="41" spans="4:27">
      <c r="K41" s="4" t="s">
        <v>105</v>
      </c>
      <c r="L41" s="4">
        <v>9.740265652592138E-3</v>
      </c>
      <c r="M41" s="4"/>
      <c r="Q41">
        <v>13.27946</v>
      </c>
      <c r="R41">
        <v>2.4711409999999998</v>
      </c>
      <c r="U41" s="8" t="s">
        <v>110</v>
      </c>
    </row>
    <row r="42" spans="4:27" ht="15" thickBot="1">
      <c r="K42" s="4" t="s">
        <v>106</v>
      </c>
      <c r="L42" s="4">
        <v>1.7396067260750732</v>
      </c>
      <c r="M42" s="4"/>
      <c r="Q42">
        <v>18.098331000000002</v>
      </c>
      <c r="R42">
        <v>32.792991000000001</v>
      </c>
      <c r="U42" s="7" t="s">
        <v>114</v>
      </c>
    </row>
    <row r="43" spans="4:27">
      <c r="K43" s="4" t="s">
        <v>107</v>
      </c>
      <c r="L43" s="4">
        <v>1.9480531305184276E-2</v>
      </c>
      <c r="M43" s="4"/>
      <c r="Q43">
        <v>2.2134100000000001</v>
      </c>
      <c r="R43">
        <v>32.033904</v>
      </c>
      <c r="U43" s="6"/>
      <c r="V43" s="6" t="s">
        <v>97</v>
      </c>
      <c r="W43" s="6" t="s">
        <v>98</v>
      </c>
    </row>
    <row r="44" spans="4:27" ht="15" thickBot="1">
      <c r="K44" s="5" t="s">
        <v>108</v>
      </c>
      <c r="L44" s="5">
        <v>2.109815577833317</v>
      </c>
      <c r="M44" s="5"/>
      <c r="Q44">
        <v>24.187462</v>
      </c>
      <c r="R44">
        <v>38.272494999999999</v>
      </c>
      <c r="U44" s="4" t="s">
        <v>99</v>
      </c>
      <c r="V44" s="4">
        <v>18.961834148148146</v>
      </c>
      <c r="W44" s="4">
        <v>28.455410499999999</v>
      </c>
    </row>
    <row r="45" spans="4:27">
      <c r="Q45">
        <v>13.098208</v>
      </c>
      <c r="R45">
        <v>17.652170000000002</v>
      </c>
      <c r="U45" s="4" t="s">
        <v>100</v>
      </c>
      <c r="V45" s="4">
        <v>144.02790603704489</v>
      </c>
      <c r="W45" s="4">
        <v>171.30275626533091</v>
      </c>
    </row>
    <row r="46" spans="4:27">
      <c r="Q46">
        <v>9.9307610000000004</v>
      </c>
      <c r="R46">
        <v>13.541086</v>
      </c>
      <c r="U46" s="4" t="s">
        <v>101</v>
      </c>
      <c r="V46" s="4">
        <v>27</v>
      </c>
      <c r="W46" s="4">
        <v>20</v>
      </c>
    </row>
    <row r="47" spans="4:27">
      <c r="K47" s="8" t="s">
        <v>110</v>
      </c>
      <c r="Q47">
        <v>18.789473999999998</v>
      </c>
      <c r="R47">
        <v>22.615593000000001</v>
      </c>
      <c r="U47" s="4" t="s">
        <v>111</v>
      </c>
      <c r="V47" s="4">
        <v>155.54395391121008</v>
      </c>
      <c r="W47" s="4"/>
    </row>
    <row r="48" spans="4:27" ht="15" thickBot="1">
      <c r="D48">
        <v>2.4711409999999998</v>
      </c>
      <c r="E48">
        <v>30.938687999999999</v>
      </c>
      <c r="K48" s="7" t="s">
        <v>115</v>
      </c>
      <c r="Q48">
        <v>13.606121</v>
      </c>
      <c r="R48">
        <v>60.294035000000001</v>
      </c>
      <c r="U48" s="4" t="s">
        <v>102</v>
      </c>
      <c r="V48" s="4">
        <v>0</v>
      </c>
      <c r="W48" s="4"/>
    </row>
    <row r="49" spans="4:23">
      <c r="D49">
        <v>32.792991000000001</v>
      </c>
      <c r="E49">
        <v>31.456980000000001</v>
      </c>
      <c r="K49" s="6"/>
      <c r="L49" s="6" t="s">
        <v>97</v>
      </c>
      <c r="M49" s="6" t="s">
        <v>98</v>
      </c>
      <c r="Q49">
        <v>31.080375</v>
      </c>
      <c r="R49">
        <v>5.3683930000000002</v>
      </c>
      <c r="U49" s="4" t="s">
        <v>103</v>
      </c>
      <c r="V49" s="4">
        <v>45</v>
      </c>
      <c r="W49" s="4"/>
    </row>
    <row r="50" spans="4:23">
      <c r="D50">
        <v>32.033904</v>
      </c>
      <c r="E50">
        <v>34.357607000000002</v>
      </c>
      <c r="K50" s="4" t="s">
        <v>99</v>
      </c>
      <c r="L50" s="4">
        <v>18.961834148148149</v>
      </c>
      <c r="M50" s="4">
        <v>28.455410500000006</v>
      </c>
      <c r="Q50">
        <v>26.720863999999999</v>
      </c>
      <c r="R50">
        <v>27.407136999999999</v>
      </c>
      <c r="U50" s="4" t="s">
        <v>104</v>
      </c>
      <c r="V50" s="4">
        <v>-2.5801872881105767</v>
      </c>
      <c r="W50" s="4"/>
    </row>
    <row r="51" spans="4:23">
      <c r="D51">
        <v>38.272494999999999</v>
      </c>
      <c r="E51">
        <v>39.090671999999998</v>
      </c>
      <c r="K51" s="4" t="s">
        <v>100</v>
      </c>
      <c r="L51" s="4">
        <v>49.486806798110422</v>
      </c>
      <c r="M51" s="4">
        <v>80.447471020117121</v>
      </c>
      <c r="Q51">
        <v>29.803229999999999</v>
      </c>
      <c r="R51">
        <v>30.938687999999999</v>
      </c>
      <c r="U51" s="4" t="s">
        <v>105</v>
      </c>
      <c r="V51" s="4">
        <v>6.6046553151036793E-3</v>
      </c>
      <c r="W51" s="4"/>
    </row>
    <row r="52" spans="4:23">
      <c r="D52">
        <v>17.652170000000002</v>
      </c>
      <c r="E52">
        <v>30.456852999999999</v>
      </c>
      <c r="K52" s="4" t="s">
        <v>101</v>
      </c>
      <c r="L52" s="4">
        <v>9</v>
      </c>
      <c r="M52" s="4">
        <v>10</v>
      </c>
      <c r="Q52">
        <v>11.462300000000001</v>
      </c>
      <c r="R52">
        <v>31.456980000000001</v>
      </c>
      <c r="U52" s="4" t="s">
        <v>106</v>
      </c>
      <c r="V52" s="4">
        <v>1.6794273926523535</v>
      </c>
      <c r="W52" s="4"/>
    </row>
    <row r="53" spans="4:23">
      <c r="D53">
        <v>13.541086</v>
      </c>
      <c r="E53">
        <v>38.751725</v>
      </c>
      <c r="K53" s="4" t="s">
        <v>111</v>
      </c>
      <c r="L53" s="4">
        <v>65.877746680349262</v>
      </c>
      <c r="M53" s="4"/>
      <c r="Q53">
        <v>7.7812380000000001</v>
      </c>
      <c r="R53">
        <v>34.357607000000002</v>
      </c>
      <c r="U53" s="4" t="s">
        <v>107</v>
      </c>
      <c r="V53" s="4">
        <v>1.3209310630207359E-2</v>
      </c>
      <c r="W53" s="4"/>
    </row>
    <row r="54" spans="4:23" ht="15" thickBot="1">
      <c r="D54">
        <v>22.615593000000001</v>
      </c>
      <c r="E54">
        <v>41.354227999999999</v>
      </c>
      <c r="K54" s="4" t="s">
        <v>102</v>
      </c>
      <c r="L54" s="4">
        <v>0</v>
      </c>
      <c r="M54" s="4"/>
      <c r="Q54">
        <v>8.8605520000000002</v>
      </c>
      <c r="R54">
        <v>39.090671999999998</v>
      </c>
      <c r="U54" s="5" t="s">
        <v>108</v>
      </c>
      <c r="V54" s="5">
        <v>2.0141033888808457</v>
      </c>
      <c r="W54" s="5"/>
    </row>
    <row r="55" spans="4:23">
      <c r="D55">
        <v>60.294035000000001</v>
      </c>
      <c r="E55">
        <v>25.324967000000001</v>
      </c>
      <c r="K55" s="4" t="s">
        <v>103</v>
      </c>
      <c r="L55" s="4">
        <v>17</v>
      </c>
      <c r="M55" s="4"/>
      <c r="Q55">
        <v>10.206614999999999</v>
      </c>
      <c r="R55">
        <v>30.456852999999999</v>
      </c>
    </row>
    <row r="56" spans="4:23">
      <c r="D56">
        <v>5.3683930000000002</v>
      </c>
      <c r="E56">
        <v>24.631449</v>
      </c>
      <c r="K56" s="4" t="s">
        <v>104</v>
      </c>
      <c r="L56" s="4">
        <v>-2.5456865842639913</v>
      </c>
      <c r="M56" s="4"/>
      <c r="Q56">
        <v>14.210526</v>
      </c>
      <c r="R56">
        <v>38.751725</v>
      </c>
    </row>
    <row r="57" spans="4:23">
      <c r="D57">
        <v>27.407136999999999</v>
      </c>
      <c r="E57">
        <v>20.296095999999999</v>
      </c>
      <c r="K57" s="4" t="s">
        <v>105</v>
      </c>
      <c r="L57" s="4">
        <v>1.044721861867267E-2</v>
      </c>
      <c r="M57" s="4"/>
      <c r="Q57">
        <v>26.940118999999999</v>
      </c>
      <c r="R57">
        <v>41.354227999999999</v>
      </c>
      <c r="U57" s="8" t="s">
        <v>109</v>
      </c>
    </row>
    <row r="58" spans="4:23" ht="15" thickBot="1">
      <c r="K58" s="4" t="s">
        <v>106</v>
      </c>
      <c r="L58" s="4">
        <v>1.7396067260750732</v>
      </c>
      <c r="M58" s="4"/>
      <c r="Q58">
        <v>10.094481</v>
      </c>
      <c r="R58">
        <v>25.324967000000001</v>
      </c>
      <c r="U58" s="7" t="s">
        <v>114</v>
      </c>
    </row>
    <row r="59" spans="4:23">
      <c r="K59" s="4" t="s">
        <v>107</v>
      </c>
      <c r="L59" s="4">
        <v>2.089443723734534E-2</v>
      </c>
      <c r="M59" s="4"/>
      <c r="Q59">
        <v>36.113652999999999</v>
      </c>
      <c r="R59">
        <v>24.631449</v>
      </c>
      <c r="U59" s="6"/>
      <c r="V59" s="6" t="s">
        <v>97</v>
      </c>
      <c r="W59" s="6" t="s">
        <v>98</v>
      </c>
    </row>
    <row r="60" spans="4:23" ht="15" thickBot="1">
      <c r="K60" s="5" t="s">
        <v>108</v>
      </c>
      <c r="L60" s="5">
        <v>2.109815577833317</v>
      </c>
      <c r="M60" s="5"/>
      <c r="Q60">
        <v>14.655714</v>
      </c>
      <c r="R60">
        <v>20.296095999999999</v>
      </c>
      <c r="U60" s="4" t="s">
        <v>99</v>
      </c>
      <c r="V60" s="4">
        <v>18.961834148148146</v>
      </c>
      <c r="W60" s="4">
        <v>28.455410499999999</v>
      </c>
    </row>
    <row r="61" spans="4:23">
      <c r="Q61">
        <v>22.608398000000001</v>
      </c>
      <c r="U61" s="4" t="s">
        <v>100</v>
      </c>
      <c r="V61" s="4">
        <v>144.02790603704489</v>
      </c>
      <c r="W61" s="4">
        <v>171.30275626533091</v>
      </c>
    </row>
    <row r="62" spans="4:23">
      <c r="D62">
        <v>2.4711409999999998</v>
      </c>
      <c r="E62">
        <v>30.938687999999999</v>
      </c>
      <c r="Q62">
        <v>58.124909000000002</v>
      </c>
      <c r="U62" s="4" t="s">
        <v>101</v>
      </c>
      <c r="V62" s="4">
        <v>27</v>
      </c>
      <c r="W62" s="4">
        <v>20</v>
      </c>
    </row>
    <row r="63" spans="4:23">
      <c r="D63">
        <v>32.033904</v>
      </c>
      <c r="E63">
        <v>34.357607000000002</v>
      </c>
      <c r="Q63">
        <v>23.981276999999999</v>
      </c>
      <c r="U63" s="4" t="s">
        <v>102</v>
      </c>
      <c r="V63" s="4">
        <v>0</v>
      </c>
      <c r="W63" s="4"/>
    </row>
    <row r="64" spans="4:23">
      <c r="D64">
        <v>31.456980000000001</v>
      </c>
      <c r="E64">
        <v>32.792991000000001</v>
      </c>
      <c r="Q64">
        <v>6.4825799999999996</v>
      </c>
      <c r="U64" s="4" t="s">
        <v>103</v>
      </c>
      <c r="V64" s="4">
        <v>39</v>
      </c>
      <c r="W64" s="4"/>
    </row>
    <row r="65" spans="4:23">
      <c r="D65">
        <v>38.272494999999999</v>
      </c>
      <c r="E65">
        <v>39.090671999999998</v>
      </c>
      <c r="Q65">
        <v>7.4210529999999997</v>
      </c>
      <c r="U65" s="4" t="s">
        <v>104</v>
      </c>
      <c r="V65" s="4">
        <v>-2.5464208706143445</v>
      </c>
      <c r="W65" s="4"/>
    </row>
    <row r="66" spans="4:23">
      <c r="D66">
        <v>17.652170000000002</v>
      </c>
      <c r="E66">
        <v>30.456852999999999</v>
      </c>
      <c r="Q66">
        <v>34.287424999999999</v>
      </c>
      <c r="U66" s="4" t="s">
        <v>105</v>
      </c>
      <c r="V66" s="4">
        <v>7.4723988726281866E-3</v>
      </c>
      <c r="W66" s="4"/>
    </row>
    <row r="67" spans="4:23">
      <c r="D67">
        <v>13.541086</v>
      </c>
      <c r="E67">
        <v>38.751725</v>
      </c>
      <c r="Q67">
        <v>17.930986000000001</v>
      </c>
      <c r="U67" s="4" t="s">
        <v>106</v>
      </c>
      <c r="V67" s="4">
        <v>1.6848751217112248</v>
      </c>
      <c r="W67" s="4"/>
    </row>
    <row r="68" spans="4:23">
      <c r="D68">
        <v>22.615593000000001</v>
      </c>
      <c r="E68">
        <v>41.354227999999999</v>
      </c>
      <c r="U68" s="4" t="s">
        <v>107</v>
      </c>
      <c r="V68" s="4">
        <v>1.4944797745256373E-2</v>
      </c>
      <c r="W68" s="4"/>
    </row>
    <row r="69" spans="4:23" ht="15" thickBot="1">
      <c r="D69">
        <v>25.324967000000001</v>
      </c>
      <c r="E69">
        <v>60.294035000000001</v>
      </c>
      <c r="U69" s="5" t="s">
        <v>108</v>
      </c>
      <c r="V69" s="5">
        <v>2.0226909200367595</v>
      </c>
      <c r="W69" s="5"/>
    </row>
    <row r="70" spans="4:23">
      <c r="D70">
        <v>5.3683930000000002</v>
      </c>
      <c r="E70">
        <v>24.631449</v>
      </c>
    </row>
    <row r="71" spans="4:23">
      <c r="D71">
        <v>20.296095999999999</v>
      </c>
      <c r="E71">
        <v>27.407136999999999</v>
      </c>
    </row>
    <row r="73" spans="4:23">
      <c r="D73" t="s">
        <v>116</v>
      </c>
      <c r="E73" t="s">
        <v>117</v>
      </c>
      <c r="F73" t="s">
        <v>118</v>
      </c>
    </row>
    <row r="74" spans="4:23">
      <c r="D74">
        <f>CORREL(D62:D71,E62:E71)</f>
        <v>0.37363996284209972</v>
      </c>
      <c r="E74">
        <f>D74^2</f>
        <v>0.13960682183264567</v>
      </c>
      <c r="F74">
        <v>0.28000000000000003</v>
      </c>
    </row>
    <row r="76" spans="4:23">
      <c r="D76" t="s">
        <v>119</v>
      </c>
    </row>
    <row r="77" spans="4:23" ht="15" thickBot="1"/>
    <row r="78" spans="4:23">
      <c r="D78" s="10" t="s">
        <v>120</v>
      </c>
      <c r="E78" s="10"/>
    </row>
    <row r="79" spans="4:23">
      <c r="D79" s="4" t="s">
        <v>121</v>
      </c>
      <c r="E79" s="4">
        <v>0.37363996284209949</v>
      </c>
    </row>
    <row r="80" spans="4:23">
      <c r="D80" s="4" t="s">
        <v>122</v>
      </c>
      <c r="E80" s="4">
        <v>0.1396068218326455</v>
      </c>
    </row>
    <row r="81" spans="4:12">
      <c r="D81" s="4" t="s">
        <v>123</v>
      </c>
      <c r="E81" s="4">
        <v>3.2057674561726202E-2</v>
      </c>
    </row>
    <row r="82" spans="4:12">
      <c r="D82" s="4" t="s">
        <v>124</v>
      </c>
      <c r="E82" s="4">
        <v>11.387177956721336</v>
      </c>
    </row>
    <row r="83" spans="4:12" ht="15" thickBot="1">
      <c r="D83" s="5" t="s">
        <v>101</v>
      </c>
      <c r="E83" s="5">
        <v>10</v>
      </c>
    </row>
    <row r="85" spans="4:12" ht="15" thickBot="1">
      <c r="D85" t="s">
        <v>125</v>
      </c>
    </row>
    <row r="86" spans="4:12">
      <c r="D86" s="6"/>
      <c r="E86" s="6" t="s">
        <v>103</v>
      </c>
      <c r="F86" s="6" t="s">
        <v>130</v>
      </c>
      <c r="G86" s="6" t="s">
        <v>131</v>
      </c>
      <c r="H86" s="6" t="s">
        <v>132</v>
      </c>
      <c r="I86" s="6" t="s">
        <v>133</v>
      </c>
    </row>
    <row r="87" spans="4:12">
      <c r="D87" s="4" t="s">
        <v>126</v>
      </c>
      <c r="E87" s="4">
        <v>1</v>
      </c>
      <c r="F87" s="4">
        <v>168.31851258083566</v>
      </c>
      <c r="G87" s="4">
        <v>168.31851258083566</v>
      </c>
      <c r="H87" s="4">
        <v>1.2980746512194283</v>
      </c>
      <c r="I87" s="4">
        <v>0.28752818959490545</v>
      </c>
    </row>
    <row r="88" spans="4:12">
      <c r="D88" s="4" t="s">
        <v>127</v>
      </c>
      <c r="E88" s="4">
        <v>8</v>
      </c>
      <c r="F88" s="4">
        <v>1037.3425745443226</v>
      </c>
      <c r="G88" s="4">
        <v>129.66782181804032</v>
      </c>
      <c r="H88" s="4"/>
      <c r="I88" s="4"/>
    </row>
    <row r="89" spans="4:12" ht="15" thickBot="1">
      <c r="D89" s="5" t="s">
        <v>128</v>
      </c>
      <c r="E89" s="5">
        <v>9</v>
      </c>
      <c r="F89" s="5">
        <v>1205.6610871251582</v>
      </c>
      <c r="G89" s="5"/>
      <c r="H89" s="5"/>
      <c r="I89" s="5"/>
    </row>
    <row r="90" spans="4:12" ht="15" thickBot="1"/>
    <row r="91" spans="4:12">
      <c r="D91" s="6"/>
      <c r="E91" s="6" t="s">
        <v>134</v>
      </c>
      <c r="F91" s="6" t="s">
        <v>124</v>
      </c>
      <c r="G91" s="6" t="s">
        <v>104</v>
      </c>
      <c r="H91" s="6" t="s">
        <v>135</v>
      </c>
      <c r="I91" s="6" t="s">
        <v>136</v>
      </c>
      <c r="J91" s="6" t="s">
        <v>137</v>
      </c>
      <c r="K91" s="6" t="s">
        <v>138</v>
      </c>
      <c r="L91" s="6" t="s">
        <v>139</v>
      </c>
    </row>
    <row r="92" spans="4:12">
      <c r="D92" s="4" t="s">
        <v>129</v>
      </c>
      <c r="E92" s="4">
        <v>5.4036584824827152</v>
      </c>
      <c r="F92" s="4">
        <v>14.072654641634324</v>
      </c>
      <c r="G92" s="4">
        <v>0.3839828817013563</v>
      </c>
      <c r="H92" s="4">
        <v>0.71099559982347749</v>
      </c>
      <c r="I92" s="4">
        <v>-27.047941314426151</v>
      </c>
      <c r="J92" s="4">
        <v>37.855258279391578</v>
      </c>
      <c r="K92" s="4">
        <v>-27.047941314426151</v>
      </c>
      <c r="L92" s="4">
        <v>37.855258279391578</v>
      </c>
    </row>
    <row r="93" spans="4:12" ht="15" thickBot="1">
      <c r="D93" s="5" t="s">
        <v>140</v>
      </c>
      <c r="E93" s="5">
        <v>0.43045497313062059</v>
      </c>
      <c r="F93" s="5">
        <v>0.3778138680598595</v>
      </c>
      <c r="G93" s="5">
        <v>1.1393307909555634</v>
      </c>
      <c r="H93" s="5">
        <v>0.28752818959490484</v>
      </c>
      <c r="I93" s="5">
        <v>-0.44078536895289705</v>
      </c>
      <c r="J93" s="5">
        <v>1.3016953152141382</v>
      </c>
      <c r="K93" s="5">
        <v>-0.44078536895289705</v>
      </c>
      <c r="L93" s="5">
        <v>1.3016953152141382</v>
      </c>
    </row>
    <row r="96" spans="4:12">
      <c r="D96" s="11"/>
      <c r="E96" s="11"/>
      <c r="F96" s="11"/>
      <c r="G96" s="11"/>
    </row>
    <row r="97" spans="4:7">
      <c r="D97" s="11"/>
      <c r="E97" s="11"/>
      <c r="F97" s="11"/>
      <c r="G97" s="11"/>
    </row>
    <row r="98" spans="4:7">
      <c r="D98" s="11"/>
      <c r="E98" s="11"/>
      <c r="F98" s="11"/>
      <c r="G98" s="11"/>
    </row>
    <row r="99" spans="4:7">
      <c r="D99" s="12"/>
      <c r="E99" s="12"/>
      <c r="F99" s="12"/>
      <c r="G99" s="11"/>
    </row>
    <row r="100" spans="4:7">
      <c r="D100" s="4"/>
      <c r="E100" s="4"/>
      <c r="F100" s="4"/>
      <c r="G100" s="11"/>
    </row>
    <row r="101" spans="4:7">
      <c r="D101" s="4"/>
      <c r="E101" s="4"/>
      <c r="F101" s="4"/>
      <c r="G101" s="11"/>
    </row>
    <row r="102" spans="4:7">
      <c r="D102" s="4"/>
      <c r="E102" s="4"/>
      <c r="F102" s="4"/>
      <c r="G102" s="11"/>
    </row>
    <row r="103" spans="4:7">
      <c r="D103" s="4"/>
      <c r="E103" s="4"/>
      <c r="F103" s="4"/>
      <c r="G103" s="11"/>
    </row>
    <row r="104" spans="4:7">
      <c r="D104" s="4"/>
      <c r="E104" s="4"/>
      <c r="F104" s="4"/>
      <c r="G104" s="11"/>
    </row>
    <row r="105" spans="4:7">
      <c r="D105" s="4"/>
      <c r="E105" s="4"/>
      <c r="F105" s="4"/>
      <c r="G105" s="11"/>
    </row>
    <row r="106" spans="4:7">
      <c r="D106" s="4"/>
      <c r="E106" s="4"/>
      <c r="F106" s="4"/>
      <c r="G106" s="11"/>
    </row>
    <row r="107" spans="4:7">
      <c r="D107" s="4"/>
      <c r="E107" s="4"/>
      <c r="F107" s="4"/>
      <c r="G107" s="11"/>
    </row>
    <row r="108" spans="4:7">
      <c r="D108" s="4"/>
      <c r="E108" s="4"/>
      <c r="F108" s="4"/>
      <c r="G108" s="11"/>
    </row>
    <row r="109" spans="4:7">
      <c r="D109" s="4"/>
      <c r="E109" s="4"/>
      <c r="F109" s="4"/>
      <c r="G109" s="11"/>
    </row>
    <row r="110" spans="4:7">
      <c r="D110" s="11"/>
      <c r="E110" s="11"/>
      <c r="F110" s="11"/>
      <c r="G110" s="11"/>
    </row>
    <row r="111" spans="4:7">
      <c r="D111" s="11"/>
      <c r="E111" s="11"/>
      <c r="F111" s="11"/>
      <c r="G111" s="11"/>
    </row>
    <row r="112" spans="4:7">
      <c r="D112" s="11"/>
      <c r="E112" s="11"/>
      <c r="F112" s="11"/>
      <c r="G112" s="11"/>
    </row>
    <row r="113" spans="4:7">
      <c r="D113" s="11"/>
      <c r="E113" s="11"/>
      <c r="F113" s="11"/>
      <c r="G113" s="11"/>
    </row>
    <row r="114" spans="4:7">
      <c r="D114" s="11"/>
      <c r="E114" s="11"/>
      <c r="F114" s="11"/>
      <c r="G114" s="11"/>
    </row>
    <row r="115" spans="4:7">
      <c r="D115" s="11"/>
      <c r="E115" s="11"/>
      <c r="F115" s="11"/>
      <c r="G115" s="11"/>
    </row>
    <row r="116" spans="4:7">
      <c r="D116" s="12"/>
      <c r="E116" s="12"/>
      <c r="F116" s="12"/>
      <c r="G116" s="11"/>
    </row>
    <row r="117" spans="4:7">
      <c r="D117" s="4"/>
      <c r="E117" s="4"/>
      <c r="F117" s="4"/>
      <c r="G117" s="11"/>
    </row>
    <row r="118" spans="4:7">
      <c r="D118" s="4"/>
      <c r="E118" s="4"/>
      <c r="F118" s="4"/>
      <c r="G118" s="11"/>
    </row>
    <row r="119" spans="4:7">
      <c r="D119" s="4"/>
      <c r="E119" s="4"/>
      <c r="F119" s="4"/>
      <c r="G119" s="11"/>
    </row>
    <row r="120" spans="4:7">
      <c r="D120" s="4"/>
      <c r="E120" s="4"/>
      <c r="F120" s="4"/>
      <c r="G120" s="11"/>
    </row>
    <row r="121" spans="4:7">
      <c r="D121" s="4"/>
      <c r="E121" s="4"/>
      <c r="F121" s="4"/>
      <c r="G121" s="11"/>
    </row>
    <row r="122" spans="4:7">
      <c r="D122" s="4"/>
      <c r="E122" s="4"/>
      <c r="F122" s="4"/>
      <c r="G122" s="11"/>
    </row>
    <row r="123" spans="4:7">
      <c r="D123" s="4"/>
      <c r="E123" s="4"/>
      <c r="F123" s="4"/>
      <c r="G123" s="11"/>
    </row>
    <row r="124" spans="4:7">
      <c r="D124" s="11"/>
      <c r="E124" s="11"/>
      <c r="F124" s="11"/>
      <c r="G124" s="11"/>
    </row>
    <row r="125" spans="4:7">
      <c r="D125" s="11"/>
      <c r="E125" s="11"/>
      <c r="F125" s="11"/>
      <c r="G125" s="11"/>
    </row>
  </sheetData>
  <pageMargins left="0.7" right="0.7" top="0.75" bottom="0.75" header="0.3" footer="0.3"/>
  <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BlinkRateMinute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2025-01-10T21:52:54Z</dcterms:modified>
</cp:coreProperties>
</file>