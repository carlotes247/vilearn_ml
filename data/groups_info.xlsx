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charts/chartEx1.xml" ContentType="application/vnd.ms-office.chartex+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4CB40E47-D377-4711-B6D3-9B86D6CBF8F7}" xr6:coauthVersionLast="47" xr6:coauthVersionMax="47" xr10:uidLastSave="{00000000-0000-0000-0000-000000000000}"/>
  <bookViews>
    <workbookView xWindow="165" yWindow="240" windowWidth="28635" windowHeight="15240" activeTab="2" xr2:uid="{00000000-000D-0000-FFFF-FFFF00000000}"/>
  </bookViews>
  <sheets>
    <sheet name="Sheet1" sheetId="1" r:id="rId1"/>
    <sheet name="BlinkRateMinute" sheetId="2" r:id="rId2"/>
    <sheet name="Sheet2" sheetId="3" r:id="rId3"/>
  </sheets>
  <definedNames>
    <definedName name="_xlchart.v1.0" hidden="1">Sheet2!$D$3</definedName>
    <definedName name="_xlchart.v1.1" hidden="1">Sheet2!$D$4:$D$13</definedName>
    <definedName name="_xlchart.v1.2" hidden="1">Sheet2!$E$3</definedName>
    <definedName name="_xlchart.v1.3" hidden="1">Sheet2!$E$4:$E$13</definedName>
    <definedName name="_xlchart.v1.4" hidden="1">Sheet2!$D$3</definedName>
    <definedName name="_xlchart.v1.5" hidden="1">Sheet2!$D$4:$D$13</definedName>
    <definedName name="_xlchart.v1.6" hidden="1">Sheet2!$E$3</definedName>
    <definedName name="_xlchart.v1.7" hidden="1">Sheet2!$E$4:$E$13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2" l="1"/>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 r="D14" i="2"/>
</calcChain>
</file>

<file path=xl/sharedStrings.xml><?xml version="1.0" encoding="utf-8"?>
<sst xmlns="http://schemas.openxmlformats.org/spreadsheetml/2006/main" count="228" uniqueCount="143">
  <si>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</si>
  <si>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</si>
  <si>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</si>
  <si>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</si>
  <si>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</si>
  <si>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</si>
  <si>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</si>
  <si>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</si>
  <si>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</si>
  <si>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</si>
  <si>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</si>
  <si>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</si>
  <si>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</si>
  <si>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</si>
  <si>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</si>
  <si>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</si>
  <si>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</si>
  <si>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</si>
  <si>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</si>
  <si>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</si>
  <si>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</si>
  <si>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</si>
  <si>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</si>
  <si>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</si>
  <si>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</si>
  <si>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</si>
  <si>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</si>
  <si>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</si>
  <si>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</si>
  <si>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</si>
  <si>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</si>
  <si>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</si>
  <si>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</si>
  <si>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</si>
  <si>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</si>
  <si>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</si>
  <si>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</si>
  <si>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</si>
  <si>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</si>
  <si>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</si>
  <si>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</si>
  <si>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</si>
  <si>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</si>
  <si>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</si>
  <si>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</si>
  <si>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</si>
  <si>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</si>
  <si>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</si>
  <si>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</si>
  <si>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</si>
  <si>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</si>
  <si>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</si>
  <si>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</si>
  <si>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</si>
  <si>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</si>
  <si>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</si>
  <si>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</si>
  <si>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</si>
  <si>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</si>
  <si>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</si>
  <si>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</si>
  <si>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</si>
  <si>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</si>
  <si>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</si>
  <si>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</si>
  <si>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</si>
  <si>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</si>
  <si>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</si>
  <si>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</si>
  <si>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</si>
  <si>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</si>
  <si>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</si>
  <si>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</si>
  <si>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</si>
  <si>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</si>
  <si>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</si>
  <si>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</si>
  <si>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</si>
  <si>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</si>
  <si>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</si>
  <si>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</si>
  <si>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</si>
  <si>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</si>
  <si>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</si>
  <si>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</si>
  <si>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</si>
  <si>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</si>
  <si>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</si>
  <si>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</si>
  <si>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</si>
  <si>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</si>
  <si>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</si>
  <si>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</si>
  <si>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</si>
  <si>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</si>
  <si>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</si>
  <si>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</si>
  <si>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</si>
  <si>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</si>
  <si>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</si>
  <si>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</si>
  <si>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</si>
  <si>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</si>
  <si>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</si>
  <si>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</si>
  <si>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</si>
  <si>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</si>
  <si>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</si>
  <si>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</si>
  <si>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Unequal Variances</t>
  </si>
  <si>
    <t>t-Test: Two-Sample Assuming Equal Variances</t>
  </si>
  <si>
    <t>Pooled Variance</t>
  </si>
  <si>
    <t>Triad_rates_per_person</t>
  </si>
  <si>
    <t>Dyad_rates_per_person</t>
  </si>
  <si>
    <t xml:space="preserve">here is for individual's blink rate </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</si>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</sst>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s>
  <fills count="3">
    <fill>
      <patternFill patternType="none"/>
    </fill>
    <fill>
      <patternFill patternType="gray125"/>
    </fill>
    <fill>
      <patternFill patternType="solid">
        <fgColor rgb="FFFF00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6">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0" fillId="0" borderId="0" xfId="0" applyBorder="1"/>
    <xf numFmtId="0" fontId="3" fillId="0" borderId="0" xfId="0" applyFont="1" applyFill="1" applyBorder="1" applyAlignment="1">
      <alignment horizontal="center"/>
    </xf>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BlinkRateMinute!$E$2:$E$11</c:f>
              <c:numCache>
                <c:formatCode>General</c:formatCode>
                <c:ptCount val="10"/>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numCache>
            </c:numRef>
          </c:xVal>
          <c:yVal>
            <c:numRef>
              <c:f>BlinkRateMinute!$D$2:$D$11</c:f>
              <c:numCache>
                <c:formatCode>General</c:formatCode>
                <c:ptCount val="10"/>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BlinkRateMinute!$L$2:$L$10</c15:sqref>
                        </c15:formulaRef>
                      </c:ext>
                    </c:extLst>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BlinkRateMinute!$K$2:$K$10</c15:sqref>
                        </c15:formulaRef>
                      </c:ext>
                    </c:extLst>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BlinkRateMinute!$O$2:$O$10</c:f>
              <c:numCache>
                <c:formatCode>General</c:formatCode>
                <c:ptCount val="9"/>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BlinkRateMinute!$N$2:$N$10</c:f>
              <c:numCache>
                <c:formatCode>General</c:formatCode>
                <c:ptCount val="9"/>
                <c:pt idx="0">
                  <c:v>24.6965565</c:v>
                </c:pt>
                <c:pt idx="1">
                  <c:v>16.377022500000002</c:v>
                </c:pt>
                <c:pt idx="2">
                  <c:v>12.410904</c:v>
                </c:pt>
                <c:pt idx="3">
                  <c:v>41.156185499999999</c:v>
                </c:pt>
                <c:pt idx="4">
                  <c:v>18.539742499999999</c:v>
                </c:pt>
                <c:pt idx="5">
                  <c:v>8.2066704999999995</c:v>
                </c:pt>
                <c:pt idx="6">
                  <c:v>13.1052635</c:v>
                </c:pt>
                <c:pt idx="7">
                  <c:v>23.946773</c:v>
                </c:pt>
                <c:pt idx="8">
                  <c:v>24.5056805</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xVal>
          <c:yVal>
            <c:numRef>
              <c:f>BlinkRateMinute!$M$2:$M$10</c:f>
              <c:numCache>
                <c:formatCode>General</c:formatCode>
                <c:ptCount val="9"/>
                <c:pt idx="0">
                  <c:v>20.000162</c:v>
                </c:pt>
                <c:pt idx="1">
                  <c:v>23.9507805</c:v>
                </c:pt>
                <c:pt idx="2">
                  <c:v>6.8378550000000002</c:v>
                </c:pt>
                <c:pt idx="3">
                  <c:v>15.984349999999999</c:v>
                </c:pt>
                <c:pt idx="4">
                  <c:v>10.979379999999999</c:v>
                </c:pt>
                <c:pt idx="5">
                  <c:v>10.068688</c:v>
                </c:pt>
                <c:pt idx="6">
                  <c:v>16.5</c:v>
                </c:pt>
                <c:pt idx="7">
                  <c:v>20.273119999999999</c:v>
                </c:pt>
                <c:pt idx="8">
                  <c:v>20.587427999999999</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3.659652299560115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chartData>
  <cx:chart>
    <cx:title pos="t" align="ctr" overlay="0"/>
    <cx:plotArea>
      <cx:plotAreaRegion>
        <cx:series layoutId="boxWhisker" uniqueId="{5F5FEFE0-8F79-4C9C-BDD4-A3321F378915}">
          <cx:tx>
            <cx:txData>
              <cx:f>_xlchart.v1.0</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_xlchart.v1.2</cx:f>
              <cx:v>Triad</cx:v>
            </cx:txData>
          </cx:tx>
          <cx:spPr>
            <a:noFill/>
          </cx:spPr>
          <cx:dataId val="1"/>
          <cx:layoutPr>
            <cx:visibility meanLine="0" meanMarker="1" nonoutliers="1"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2</xdr:col>
      <xdr:colOff>200025</xdr:colOff>
      <xdr:row>21</xdr:row>
      <xdr:rowOff>169862</xdr:rowOff>
    </xdr:from>
    <xdr:to>
      <xdr:col>4</xdr:col>
      <xdr:colOff>168275</xdr:colOff>
      <xdr:row>37</xdr:row>
      <xdr:rowOff>20637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430212</xdr:colOff>
      <xdr:row>12</xdr:row>
      <xdr:rowOff>87312</xdr:rowOff>
    </xdr:from>
    <xdr:to>
      <xdr:col>8</xdr:col>
      <xdr:colOff>3779837</xdr:colOff>
      <xdr:row>27</xdr:row>
      <xdr:rowOff>112712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444500</xdr:colOff>
      <xdr:row>29</xdr:row>
      <xdr:rowOff>133350</xdr:rowOff>
    </xdr:from>
    <xdr:to>
      <xdr:col>8</xdr:col>
      <xdr:colOff>3806825</xdr:colOff>
      <xdr:row>44</xdr:row>
      <xdr:rowOff>161925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387350</xdr:colOff>
      <xdr:row>12</xdr:row>
      <xdr:rowOff>63499</xdr:rowOff>
    </xdr:from>
    <xdr:to>
      <xdr:col>14</xdr:col>
      <xdr:colOff>95250</xdr:colOff>
      <xdr:row>27</xdr:row>
      <xdr:rowOff>95249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361950</xdr:colOff>
      <xdr:row>0</xdr:row>
      <xdr:rowOff>101599</xdr:rowOff>
    </xdr:from>
    <xdr:to>
      <xdr:col>22</xdr:col>
      <xdr:colOff>466725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120650</xdr:colOff>
      <xdr:row>50</xdr:row>
      <xdr:rowOff>17462</xdr:rowOff>
    </xdr:from>
    <xdr:to>
      <xdr:col>8</xdr:col>
      <xdr:colOff>3473450</xdr:colOff>
      <xdr:row>65</xdr:row>
      <xdr:rowOff>11112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471487</xdr:colOff>
      <xdr:row>1</xdr:row>
      <xdr:rowOff>9525</xdr:rowOff>
    </xdr:from>
    <xdr:to>
      <xdr:col>15</xdr:col>
      <xdr:colOff>166687</xdr:colOff>
      <xdr:row>15</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38687" y="200025"/>
              <a:ext cx="4572000" cy="27527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1" totalsRowShown="0" dataDxfId="13">
  <autoFilter ref="C1:F11"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0" totalsRowShown="0" dataDxfId="8">
  <autoFilter ref="I1:P10"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6"/>
  <sheetViews>
    <sheetView workbookViewId="0">
      <selection activeCell="C28" sqref="C28"/>
    </sheetView>
  </sheetViews>
  <sheetFormatPr defaultRowHeight="15"/>
  <cols>
    <col min="1" max="1" width="54.5703125" customWidth="1"/>
    <col min="2" max="2" width="22.85546875" customWidth="1"/>
    <col min="3" max="3" width="25" customWidth="1"/>
    <col min="4" max="4" width="10.85546875" customWidth="1"/>
    <col min="5" max="5" width="11.570312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t="s">
        <v>68</v>
      </c>
      <c r="B14" s="1" t="s">
        <v>32</v>
      </c>
      <c r="C14" s="1" t="s">
        <v>33</v>
      </c>
      <c r="D14">
        <v>1</v>
      </c>
      <c r="E14">
        <v>0</v>
      </c>
      <c r="G14" t="s">
        <v>34</v>
      </c>
    </row>
    <row r="15" spans="1:7">
      <c r="A15" t="s">
        <v>69</v>
      </c>
      <c r="B15" s="1" t="s">
        <v>35</v>
      </c>
      <c r="C15" s="1" t="s">
        <v>36</v>
      </c>
      <c r="D15">
        <v>1</v>
      </c>
      <c r="E15">
        <v>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16"/>
  <sheetViews>
    <sheetView topLeftCell="I26" workbookViewId="0">
      <selection activeCell="I57" sqref="I57"/>
    </sheetView>
  </sheetViews>
  <sheetFormatPr defaultRowHeight="15"/>
  <cols>
    <col min="3" max="3" width="57.140625" customWidth="1"/>
    <col min="4" max="4" width="13" customWidth="1"/>
    <col min="9" max="9" width="58.28515625" customWidth="1"/>
    <col min="13" max="13" width="13" customWidth="1"/>
    <col min="14" max="15" width="11.8554687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row>
    <row r="13" spans="3:16">
      <c r="D13" t="s">
        <v>91</v>
      </c>
    </row>
    <row r="14" spans="3:16">
      <c r="D14">
        <f>CORREL(Table1[P1],Table1[P2])</f>
        <v>-7.203443722093221E-2</v>
      </c>
    </row>
    <row r="23" spans="11:27" ht="15.75" thickBot="1"/>
    <row r="24" spans="11:27">
      <c r="Y24" s="4"/>
      <c r="Z24" s="4"/>
      <c r="AA24" s="4"/>
    </row>
    <row r="32" spans="11:27">
      <c r="K32" s="6" t="s">
        <v>109</v>
      </c>
    </row>
    <row r="33" spans="4:27" ht="15.75" thickBot="1">
      <c r="K33" s="5" t="s">
        <v>115</v>
      </c>
    </row>
    <row r="34" spans="4:27">
      <c r="K34" s="4"/>
      <c r="L34" s="4" t="s">
        <v>97</v>
      </c>
      <c r="M34" s="4" t="s">
        <v>98</v>
      </c>
    </row>
    <row r="35" spans="4:27" ht="15.75" thickBot="1">
      <c r="K35" t="s">
        <v>99</v>
      </c>
      <c r="L35">
        <v>18.961834148148149</v>
      </c>
      <c r="M35">
        <v>28.455410500000006</v>
      </c>
      <c r="Y35" s="3"/>
      <c r="Z35" s="3"/>
      <c r="AA35" s="3"/>
    </row>
    <row r="36" spans="4:27">
      <c r="K36" t="s">
        <v>100</v>
      </c>
      <c r="L36">
        <v>49.486806798110422</v>
      </c>
      <c r="M36">
        <v>80.447471020117121</v>
      </c>
    </row>
    <row r="37" spans="4:27">
      <c r="K37" t="s">
        <v>101</v>
      </c>
      <c r="L37">
        <v>9</v>
      </c>
      <c r="M37">
        <v>10</v>
      </c>
    </row>
    <row r="38" spans="4:27">
      <c r="K38" t="s">
        <v>102</v>
      </c>
      <c r="L38">
        <v>0</v>
      </c>
    </row>
    <row r="39" spans="4:27">
      <c r="K39" t="s">
        <v>103</v>
      </c>
      <c r="L39">
        <v>17</v>
      </c>
    </row>
    <row r="40" spans="4:27">
      <c r="K40" t="s">
        <v>104</v>
      </c>
      <c r="L40">
        <v>-2.5796922549107779</v>
      </c>
      <c r="Q40" t="s">
        <v>112</v>
      </c>
      <c r="R40" t="s">
        <v>113</v>
      </c>
    </row>
    <row r="41" spans="4:27">
      <c r="K41" t="s">
        <v>105</v>
      </c>
      <c r="L41">
        <v>9.740265652592138E-3</v>
      </c>
      <c r="Q41">
        <v>13.27946</v>
      </c>
      <c r="R41">
        <v>2.4711409999999998</v>
      </c>
      <c r="U41" s="6" t="s">
        <v>110</v>
      </c>
    </row>
    <row r="42" spans="4:27" ht="15.75" thickBot="1">
      <c r="K42" t="s">
        <v>106</v>
      </c>
      <c r="L42">
        <v>1.7396067260750732</v>
      </c>
      <c r="Q42">
        <v>18.098331000000002</v>
      </c>
      <c r="R42">
        <v>32.792991000000001</v>
      </c>
      <c r="U42" s="5" t="s">
        <v>114</v>
      </c>
    </row>
    <row r="43" spans="4:27">
      <c r="K43" t="s">
        <v>107</v>
      </c>
      <c r="L43">
        <v>1.9480531305184276E-2</v>
      </c>
      <c r="Q43">
        <v>2.2134100000000001</v>
      </c>
      <c r="R43">
        <v>32.033904</v>
      </c>
      <c r="U43" s="4"/>
      <c r="V43" s="4" t="s">
        <v>97</v>
      </c>
      <c r="W43" s="4" t="s">
        <v>98</v>
      </c>
    </row>
    <row r="44" spans="4:27" ht="15.75" thickBot="1">
      <c r="K44" s="3" t="s">
        <v>108</v>
      </c>
      <c r="L44" s="3">
        <v>2.109815577833317</v>
      </c>
      <c r="M44" s="3"/>
      <c r="Q44">
        <v>24.187462</v>
      </c>
      <c r="R44">
        <v>38.272494999999999</v>
      </c>
      <c r="U44" t="s">
        <v>99</v>
      </c>
      <c r="V44">
        <v>18.961834148148146</v>
      </c>
      <c r="W44">
        <v>28.455410499999999</v>
      </c>
    </row>
    <row r="45" spans="4:27">
      <c r="Q45">
        <v>13.098208</v>
      </c>
      <c r="R45">
        <v>17.652170000000002</v>
      </c>
      <c r="U45" t="s">
        <v>100</v>
      </c>
      <c r="V45">
        <v>144.02790603704489</v>
      </c>
      <c r="W45">
        <v>171.30275626533091</v>
      </c>
    </row>
    <row r="46" spans="4:27">
      <c r="Q46">
        <v>9.9307610000000004</v>
      </c>
      <c r="R46">
        <v>13.541086</v>
      </c>
      <c r="U46" t="s">
        <v>101</v>
      </c>
      <c r="V46">
        <v>27</v>
      </c>
      <c r="W46">
        <v>20</v>
      </c>
    </row>
    <row r="47" spans="4:27">
      <c r="K47" s="6" t="s">
        <v>110</v>
      </c>
      <c r="Q47">
        <v>18.789473999999998</v>
      </c>
      <c r="R47">
        <v>22.615593000000001</v>
      </c>
      <c r="U47" t="s">
        <v>111</v>
      </c>
      <c r="V47">
        <v>155.54395391121008</v>
      </c>
    </row>
    <row r="48" spans="4:27" ht="15.75" thickBot="1">
      <c r="D48">
        <v>2.4711409999999998</v>
      </c>
      <c r="E48">
        <v>30.938687999999999</v>
      </c>
      <c r="K48" s="5" t="s">
        <v>115</v>
      </c>
      <c r="Q48">
        <v>13.606121</v>
      </c>
      <c r="R48">
        <v>60.294035000000001</v>
      </c>
      <c r="U48" t="s">
        <v>102</v>
      </c>
      <c r="V48">
        <v>0</v>
      </c>
    </row>
    <row r="49" spans="4:23">
      <c r="D49">
        <v>32.792991000000001</v>
      </c>
      <c r="E49">
        <v>31.456980000000001</v>
      </c>
      <c r="K49" s="4"/>
      <c r="L49" s="4" t="s">
        <v>97</v>
      </c>
      <c r="M49" s="4" t="s">
        <v>98</v>
      </c>
      <c r="Q49">
        <v>31.080375</v>
      </c>
      <c r="R49">
        <v>5.3683930000000002</v>
      </c>
      <c r="U49" t="s">
        <v>103</v>
      </c>
      <c r="V49">
        <v>45</v>
      </c>
    </row>
    <row r="50" spans="4:23">
      <c r="D50">
        <v>32.033904</v>
      </c>
      <c r="E50">
        <v>34.357607000000002</v>
      </c>
      <c r="K50" t="s">
        <v>99</v>
      </c>
      <c r="L50">
        <v>18.961834148148149</v>
      </c>
      <c r="M50">
        <v>28.455410500000006</v>
      </c>
      <c r="Q50">
        <v>26.720863999999999</v>
      </c>
      <c r="R50">
        <v>27.407136999999999</v>
      </c>
      <c r="U50" t="s">
        <v>104</v>
      </c>
      <c r="V50">
        <v>-2.5801872881105767</v>
      </c>
    </row>
    <row r="51" spans="4:23">
      <c r="D51">
        <v>38.272494999999999</v>
      </c>
      <c r="E51">
        <v>39.090671999999998</v>
      </c>
      <c r="K51" t="s">
        <v>100</v>
      </c>
      <c r="L51">
        <v>49.486806798110422</v>
      </c>
      <c r="M51">
        <v>80.447471020117121</v>
      </c>
      <c r="Q51">
        <v>29.803229999999999</v>
      </c>
      <c r="R51">
        <v>30.938687999999999</v>
      </c>
      <c r="U51" t="s">
        <v>105</v>
      </c>
      <c r="V51">
        <v>6.6046553151036793E-3</v>
      </c>
    </row>
    <row r="52" spans="4:23">
      <c r="D52">
        <v>17.652170000000002</v>
      </c>
      <c r="E52">
        <v>30.456852999999999</v>
      </c>
      <c r="K52" t="s">
        <v>101</v>
      </c>
      <c r="L52">
        <v>9</v>
      </c>
      <c r="M52">
        <v>10</v>
      </c>
      <c r="Q52">
        <v>11.462300000000001</v>
      </c>
      <c r="R52">
        <v>31.456980000000001</v>
      </c>
      <c r="U52" t="s">
        <v>106</v>
      </c>
      <c r="V52">
        <v>1.6794273926523535</v>
      </c>
    </row>
    <row r="53" spans="4:23">
      <c r="D53">
        <v>13.541086</v>
      </c>
      <c r="E53">
        <v>38.751725</v>
      </c>
      <c r="K53" t="s">
        <v>111</v>
      </c>
      <c r="L53">
        <v>65.877746680349262</v>
      </c>
      <c r="Q53">
        <v>7.7812380000000001</v>
      </c>
      <c r="R53">
        <v>34.357607000000002</v>
      </c>
      <c r="U53" t="s">
        <v>107</v>
      </c>
      <c r="V53">
        <v>1.3209310630207359E-2</v>
      </c>
    </row>
    <row r="54" spans="4:23" ht="15.75" thickBot="1">
      <c r="D54">
        <v>22.615593000000001</v>
      </c>
      <c r="E54">
        <v>41.354227999999999</v>
      </c>
      <c r="K54" t="s">
        <v>102</v>
      </c>
      <c r="L54">
        <v>0</v>
      </c>
      <c r="Q54">
        <v>8.8605520000000002</v>
      </c>
      <c r="R54">
        <v>39.090671999999998</v>
      </c>
      <c r="U54" s="3" t="s">
        <v>108</v>
      </c>
      <c r="V54" s="3">
        <v>2.0141033888808457</v>
      </c>
      <c r="W54" s="3"/>
    </row>
    <row r="55" spans="4:23">
      <c r="D55">
        <v>60.294035000000001</v>
      </c>
      <c r="E55">
        <v>25.324967000000001</v>
      </c>
      <c r="K55" t="s">
        <v>103</v>
      </c>
      <c r="L55">
        <v>17</v>
      </c>
      <c r="Q55">
        <v>10.206614999999999</v>
      </c>
      <c r="R55">
        <v>30.456852999999999</v>
      </c>
    </row>
    <row r="56" spans="4:23">
      <c r="D56">
        <v>5.3683930000000002</v>
      </c>
      <c r="E56">
        <v>24.631449</v>
      </c>
      <c r="K56" t="s">
        <v>104</v>
      </c>
      <c r="L56">
        <v>-2.5456865842639913</v>
      </c>
      <c r="Q56">
        <v>14.210526</v>
      </c>
      <c r="R56">
        <v>38.751725</v>
      </c>
    </row>
    <row r="57" spans="4:23">
      <c r="D57">
        <v>27.407136999999999</v>
      </c>
      <c r="E57">
        <v>20.296095999999999</v>
      </c>
      <c r="K57" t="s">
        <v>105</v>
      </c>
      <c r="L57">
        <v>1.044721861867267E-2</v>
      </c>
      <c r="Q57">
        <v>26.940118999999999</v>
      </c>
      <c r="R57">
        <v>41.354227999999999</v>
      </c>
      <c r="U57" s="6" t="s">
        <v>109</v>
      </c>
    </row>
    <row r="58" spans="4:23" ht="15.75" thickBot="1">
      <c r="K58" t="s">
        <v>106</v>
      </c>
      <c r="L58">
        <v>1.7396067260750732</v>
      </c>
      <c r="Q58">
        <v>10.094481</v>
      </c>
      <c r="R58">
        <v>25.324967000000001</v>
      </c>
      <c r="U58" s="5" t="s">
        <v>114</v>
      </c>
    </row>
    <row r="59" spans="4:23">
      <c r="K59" t="s">
        <v>107</v>
      </c>
      <c r="L59">
        <v>2.089443723734534E-2</v>
      </c>
      <c r="Q59">
        <v>36.113652999999999</v>
      </c>
      <c r="R59">
        <v>24.631449</v>
      </c>
      <c r="U59" s="4"/>
      <c r="V59" s="4" t="s">
        <v>97</v>
      </c>
      <c r="W59" s="4" t="s">
        <v>98</v>
      </c>
    </row>
    <row r="60" spans="4:23" ht="15.75" thickBot="1">
      <c r="K60" s="3" t="s">
        <v>108</v>
      </c>
      <c r="L60" s="3">
        <v>2.109815577833317</v>
      </c>
      <c r="M60" s="3"/>
      <c r="Q60">
        <v>14.655714</v>
      </c>
      <c r="R60">
        <v>20.296095999999999</v>
      </c>
      <c r="U60" t="s">
        <v>99</v>
      </c>
      <c r="V60">
        <v>18.961834148148146</v>
      </c>
      <c r="W60">
        <v>28.455410499999999</v>
      </c>
    </row>
    <row r="61" spans="4:23">
      <c r="Q61">
        <v>22.608398000000001</v>
      </c>
      <c r="U61" t="s">
        <v>100</v>
      </c>
      <c r="V61">
        <v>144.02790603704489</v>
      </c>
      <c r="W61">
        <v>171.30275626533091</v>
      </c>
    </row>
    <row r="62" spans="4:23">
      <c r="D62">
        <v>2.4711409999999998</v>
      </c>
      <c r="E62">
        <v>30.938687999999999</v>
      </c>
      <c r="Q62">
        <v>58.124909000000002</v>
      </c>
      <c r="U62" t="s">
        <v>101</v>
      </c>
      <c r="V62">
        <v>27</v>
      </c>
      <c r="W62">
        <v>20</v>
      </c>
    </row>
    <row r="63" spans="4:23">
      <c r="D63">
        <v>32.033904</v>
      </c>
      <c r="E63">
        <v>34.357607000000002</v>
      </c>
      <c r="Q63">
        <v>23.981276999999999</v>
      </c>
      <c r="U63" t="s">
        <v>102</v>
      </c>
      <c r="V63">
        <v>0</v>
      </c>
    </row>
    <row r="64" spans="4:23">
      <c r="D64">
        <v>31.456980000000001</v>
      </c>
      <c r="E64">
        <v>32.792991000000001</v>
      </c>
      <c r="Q64">
        <v>6.4825799999999996</v>
      </c>
      <c r="U64" t="s">
        <v>103</v>
      </c>
      <c r="V64">
        <v>39</v>
      </c>
    </row>
    <row r="65" spans="4:23">
      <c r="D65">
        <v>38.272494999999999</v>
      </c>
      <c r="E65">
        <v>39.090671999999998</v>
      </c>
      <c r="Q65">
        <v>7.4210529999999997</v>
      </c>
      <c r="U65" t="s">
        <v>104</v>
      </c>
      <c r="V65">
        <v>-2.5464208706143445</v>
      </c>
    </row>
    <row r="66" spans="4:23">
      <c r="D66">
        <v>17.652170000000002</v>
      </c>
      <c r="E66">
        <v>30.456852999999999</v>
      </c>
      <c r="Q66">
        <v>34.287424999999999</v>
      </c>
      <c r="U66" t="s">
        <v>105</v>
      </c>
      <c r="V66">
        <v>7.4723988726281866E-3</v>
      </c>
    </row>
    <row r="67" spans="4:23">
      <c r="D67">
        <v>13.541086</v>
      </c>
      <c r="E67">
        <v>38.751725</v>
      </c>
      <c r="Q67">
        <v>17.930986000000001</v>
      </c>
      <c r="U67" t="s">
        <v>106</v>
      </c>
      <c r="V67">
        <v>1.6848751217112248</v>
      </c>
    </row>
    <row r="68" spans="4:23">
      <c r="D68">
        <v>22.615593000000001</v>
      </c>
      <c r="E68">
        <v>41.354227999999999</v>
      </c>
      <c r="U68" t="s">
        <v>107</v>
      </c>
      <c r="V68">
        <v>1.4944797745256373E-2</v>
      </c>
    </row>
    <row r="69" spans="4:23" ht="15.75" thickBot="1">
      <c r="D69">
        <v>25.324967000000001</v>
      </c>
      <c r="E69">
        <v>60.294035000000001</v>
      </c>
      <c r="U69" s="3" t="s">
        <v>108</v>
      </c>
      <c r="V69" s="3">
        <v>2.0226909200367595</v>
      </c>
      <c r="W69" s="3"/>
    </row>
    <row r="70" spans="4:23">
      <c r="D70">
        <v>5.3683930000000002</v>
      </c>
      <c r="E70">
        <v>24.631449</v>
      </c>
    </row>
    <row r="71" spans="4:23">
      <c r="D71">
        <v>20.296095999999999</v>
      </c>
      <c r="E71">
        <v>27.407136999999999</v>
      </c>
    </row>
    <row r="73" spans="4:23">
      <c r="D73" t="s">
        <v>116</v>
      </c>
      <c r="E73" t="s">
        <v>117</v>
      </c>
      <c r="F73" t="s">
        <v>118</v>
      </c>
    </row>
    <row r="74" spans="4:23">
      <c r="D74">
        <f>CORREL(D62:D71,E62:E71)</f>
        <v>0.37363996284209972</v>
      </c>
      <c r="E74">
        <f>D74^2</f>
        <v>0.13960682183264567</v>
      </c>
      <c r="F74">
        <v>0.28000000000000003</v>
      </c>
    </row>
    <row r="76" spans="4:23">
      <c r="D76" t="s">
        <v>119</v>
      </c>
    </row>
    <row r="77" spans="4:23" ht="15.75" thickBot="1"/>
    <row r="78" spans="4:23">
      <c r="D78" s="8" t="s">
        <v>120</v>
      </c>
      <c r="E78" s="8"/>
    </row>
    <row r="79" spans="4:23">
      <c r="D79" t="s">
        <v>121</v>
      </c>
      <c r="E79">
        <v>0.37363996284209949</v>
      </c>
    </row>
    <row r="80" spans="4:23">
      <c r="D80" t="s">
        <v>122</v>
      </c>
      <c r="E80">
        <v>0.1396068218326455</v>
      </c>
    </row>
    <row r="81" spans="4:12">
      <c r="D81" t="s">
        <v>123</v>
      </c>
      <c r="E81">
        <v>3.2057674561726202E-2</v>
      </c>
    </row>
    <row r="82" spans="4:12">
      <c r="D82" t="s">
        <v>124</v>
      </c>
      <c r="E82">
        <v>11.387177956721336</v>
      </c>
    </row>
    <row r="83" spans="4:12" ht="15.75" thickBot="1">
      <c r="D83" s="3" t="s">
        <v>101</v>
      </c>
      <c r="E83" s="3">
        <v>10</v>
      </c>
    </row>
    <row r="85" spans="4:12" ht="15.75" thickBot="1">
      <c r="D85" t="s">
        <v>125</v>
      </c>
    </row>
    <row r="86" spans="4:12">
      <c r="D86" s="4"/>
      <c r="E86" s="4" t="s">
        <v>103</v>
      </c>
      <c r="F86" s="4" t="s">
        <v>130</v>
      </c>
      <c r="G86" s="4" t="s">
        <v>131</v>
      </c>
      <c r="H86" s="4" t="s">
        <v>132</v>
      </c>
      <c r="I86" s="4" t="s">
        <v>133</v>
      </c>
    </row>
    <row r="87" spans="4:12">
      <c r="D87" t="s">
        <v>126</v>
      </c>
      <c r="E87">
        <v>1</v>
      </c>
      <c r="F87">
        <v>168.31851258083566</v>
      </c>
      <c r="G87">
        <v>168.31851258083566</v>
      </c>
      <c r="H87">
        <v>1.2980746512194283</v>
      </c>
      <c r="I87">
        <v>0.28752818959490545</v>
      </c>
    </row>
    <row r="88" spans="4:12">
      <c r="D88" t="s">
        <v>127</v>
      </c>
      <c r="E88">
        <v>8</v>
      </c>
      <c r="F88">
        <v>1037.3425745443226</v>
      </c>
      <c r="G88">
        <v>129.66782181804032</v>
      </c>
    </row>
    <row r="89" spans="4:12" ht="15.75" thickBot="1">
      <c r="D89" s="3" t="s">
        <v>128</v>
      </c>
      <c r="E89" s="3">
        <v>9</v>
      </c>
      <c r="F89" s="3">
        <v>1205.6610871251582</v>
      </c>
      <c r="G89" s="3"/>
      <c r="H89" s="3"/>
      <c r="I89" s="3"/>
    </row>
    <row r="90" spans="4:12" ht="15.75" thickBot="1"/>
    <row r="91" spans="4:12">
      <c r="D91" s="4"/>
      <c r="E91" s="4" t="s">
        <v>134</v>
      </c>
      <c r="F91" s="4" t="s">
        <v>124</v>
      </c>
      <c r="G91" s="4" t="s">
        <v>104</v>
      </c>
      <c r="H91" s="4" t="s">
        <v>135</v>
      </c>
      <c r="I91" s="4" t="s">
        <v>136</v>
      </c>
      <c r="J91" s="4" t="s">
        <v>137</v>
      </c>
      <c r="K91" s="4" t="s">
        <v>138</v>
      </c>
      <c r="L91" s="4" t="s">
        <v>139</v>
      </c>
    </row>
    <row r="92" spans="4:12">
      <c r="D92" t="s">
        <v>129</v>
      </c>
      <c r="E92">
        <v>5.4036584824827152</v>
      </c>
      <c r="F92">
        <v>14.072654641634324</v>
      </c>
      <c r="G92">
        <v>0.3839828817013563</v>
      </c>
      <c r="H92">
        <v>0.71099559982347749</v>
      </c>
      <c r="I92">
        <v>-27.047941314426151</v>
      </c>
      <c r="J92">
        <v>37.855258279391578</v>
      </c>
      <c r="K92">
        <v>-27.047941314426151</v>
      </c>
      <c r="L92">
        <v>37.855258279391578</v>
      </c>
    </row>
    <row r="93" spans="4:12" ht="15.75" thickBot="1">
      <c r="D93" s="3" t="s">
        <v>140</v>
      </c>
      <c r="E93" s="3">
        <v>0.43045497313062059</v>
      </c>
      <c r="F93" s="3">
        <v>0.3778138680598595</v>
      </c>
      <c r="G93" s="3">
        <v>1.1393307909555634</v>
      </c>
      <c r="H93" s="3">
        <v>0.28752818959490484</v>
      </c>
      <c r="I93" s="3">
        <v>-0.44078536895289705</v>
      </c>
      <c r="J93" s="3">
        <v>1.3016953152141382</v>
      </c>
      <c r="K93" s="3">
        <v>-0.44078536895289705</v>
      </c>
      <c r="L93" s="3">
        <v>1.3016953152141382</v>
      </c>
    </row>
    <row r="99" spans="4:6">
      <c r="D99" s="9"/>
      <c r="E99" s="9"/>
      <c r="F99" s="9"/>
    </row>
    <row r="116" spans="4:6">
      <c r="D116" s="9"/>
      <c r="E116" s="9"/>
      <c r="F116" s="9"/>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3:L34"/>
  <sheetViews>
    <sheetView tabSelected="1" workbookViewId="0">
      <selection activeCell="O19" sqref="O19"/>
    </sheetView>
  </sheetViews>
  <sheetFormatPr defaultRowHeight="15"/>
  <sheetData>
    <row r="3" spans="4:6">
      <c r="D3" t="s">
        <v>141</v>
      </c>
      <c r="E3" t="s">
        <v>142</v>
      </c>
    </row>
    <row r="4" spans="4:6">
      <c r="D4" s="2">
        <v>0.147929</v>
      </c>
      <c r="E4" s="2">
        <v>0.49503999999999998</v>
      </c>
    </row>
    <row r="5" spans="4:6">
      <c r="D5" s="2">
        <v>0.85066200000000003</v>
      </c>
      <c r="E5" s="2">
        <v>0.59295100000000001</v>
      </c>
    </row>
    <row r="6" spans="4:6">
      <c r="D6" s="2">
        <v>0.88</v>
      </c>
      <c r="E6" s="2">
        <v>0.25284800000000002</v>
      </c>
    </row>
    <row r="7" spans="4:6">
      <c r="D7" s="2">
        <v>0.921269</v>
      </c>
      <c r="E7" s="2">
        <v>0.39312900000000001</v>
      </c>
    </row>
    <row r="8" spans="4:6">
      <c r="D8" s="2">
        <v>0.60075999999999996</v>
      </c>
      <c r="E8" s="2">
        <v>0.43397799999999997</v>
      </c>
    </row>
    <row r="9" spans="4:6">
      <c r="D9" s="2">
        <v>0.49684200000000001</v>
      </c>
      <c r="E9" s="2">
        <v>0.352771</v>
      </c>
    </row>
    <row r="10" spans="4:6">
      <c r="D10" s="2">
        <v>0.67821100000000001</v>
      </c>
      <c r="E10" s="2">
        <v>0.44958799999999999</v>
      </c>
    </row>
    <row r="11" spans="4:6">
      <c r="D11" s="2">
        <v>0.58125499999999997</v>
      </c>
      <c r="E11" s="2">
        <v>0.63485400000000003</v>
      </c>
    </row>
    <row r="12" spans="4:6">
      <c r="D12" s="2">
        <v>0.30175400000000002</v>
      </c>
      <c r="E12" s="2">
        <v>0.46416099999999999</v>
      </c>
    </row>
    <row r="13" spans="4:6">
      <c r="D13" s="2">
        <v>0.67080700000000004</v>
      </c>
      <c r="E13" s="10"/>
      <c r="F13" s="10"/>
    </row>
    <row r="16" spans="4:6">
      <c r="D16" t="s">
        <v>110</v>
      </c>
    </row>
    <row r="17" spans="4:12" ht="15.75" thickBot="1"/>
    <row r="18" spans="4:12">
      <c r="D18" s="13"/>
      <c r="E18" s="13" t="s">
        <v>97</v>
      </c>
      <c r="F18" s="13" t="s">
        <v>98</v>
      </c>
      <c r="H18" s="14"/>
      <c r="I18" s="14"/>
      <c r="J18" s="14"/>
      <c r="K18" s="14"/>
      <c r="L18" s="14"/>
    </row>
    <row r="19" spans="4:12">
      <c r="D19" s="11" t="s">
        <v>99</v>
      </c>
      <c r="E19" s="11">
        <v>0.61294889999999991</v>
      </c>
      <c r="F19" s="11">
        <v>0.45214666666666659</v>
      </c>
      <c r="H19" s="14"/>
      <c r="I19" s="14"/>
      <c r="J19" s="14"/>
      <c r="K19" s="14"/>
      <c r="L19" s="14"/>
    </row>
    <row r="20" spans="4:12">
      <c r="D20" s="11" t="s">
        <v>100</v>
      </c>
      <c r="E20" s="11">
        <v>6.2023494600988945E-2</v>
      </c>
      <c r="F20" s="11">
        <v>1.3575903256500044E-2</v>
      </c>
      <c r="H20" s="15"/>
      <c r="I20" s="15"/>
      <c r="J20" s="15"/>
      <c r="K20" s="14"/>
      <c r="L20" s="14"/>
    </row>
    <row r="21" spans="4:12">
      <c r="D21" s="11" t="s">
        <v>101</v>
      </c>
      <c r="E21" s="11">
        <v>10</v>
      </c>
      <c r="F21" s="11">
        <v>9</v>
      </c>
      <c r="H21" s="11"/>
      <c r="I21" s="11"/>
      <c r="J21" s="11"/>
      <c r="K21" s="14"/>
      <c r="L21" s="14"/>
    </row>
    <row r="22" spans="4:12">
      <c r="D22" s="11" t="s">
        <v>111</v>
      </c>
      <c r="E22" s="11">
        <v>3.9224628085935347E-2</v>
      </c>
      <c r="F22" s="11"/>
      <c r="H22" s="11"/>
      <c r="I22" s="11"/>
      <c r="J22" s="11"/>
      <c r="K22" s="14"/>
      <c r="L22" s="14"/>
    </row>
    <row r="23" spans="4:12">
      <c r="D23" s="11" t="s">
        <v>102</v>
      </c>
      <c r="E23" s="11">
        <v>0</v>
      </c>
      <c r="F23" s="11"/>
      <c r="H23" s="11"/>
      <c r="I23" s="11"/>
      <c r="J23" s="11"/>
      <c r="K23" s="14"/>
      <c r="L23" s="14"/>
    </row>
    <row r="24" spans="4:12">
      <c r="D24" s="11" t="s">
        <v>103</v>
      </c>
      <c r="E24" s="11">
        <v>17</v>
      </c>
      <c r="F24" s="11"/>
      <c r="H24" s="11"/>
      <c r="I24" s="11"/>
      <c r="J24" s="11"/>
      <c r="K24" s="14"/>
      <c r="L24" s="14"/>
    </row>
    <row r="25" spans="4:12">
      <c r="D25" s="11" t="s">
        <v>104</v>
      </c>
      <c r="E25" s="11">
        <v>1.7670836690454677</v>
      </c>
      <c r="F25" s="11"/>
      <c r="H25" s="11"/>
      <c r="I25" s="11"/>
      <c r="J25" s="11"/>
      <c r="K25" s="14"/>
      <c r="L25" s="14"/>
    </row>
    <row r="26" spans="4:12">
      <c r="D26" s="11" t="s">
        <v>105</v>
      </c>
      <c r="E26" s="11">
        <v>4.758001301771498E-2</v>
      </c>
      <c r="F26" s="11"/>
      <c r="H26" s="11"/>
      <c r="I26" s="11"/>
      <c r="J26" s="11"/>
      <c r="K26" s="14"/>
      <c r="L26" s="14"/>
    </row>
    <row r="27" spans="4:12">
      <c r="D27" s="11" t="s">
        <v>106</v>
      </c>
      <c r="E27" s="11">
        <v>1.7396067260750732</v>
      </c>
      <c r="F27" s="11"/>
      <c r="H27" s="11"/>
      <c r="I27" s="11"/>
      <c r="J27" s="11"/>
      <c r="K27" s="14"/>
      <c r="L27" s="14"/>
    </row>
    <row r="28" spans="4:12">
      <c r="D28" s="11" t="s">
        <v>107</v>
      </c>
      <c r="E28" s="11">
        <v>9.5160026035429959E-2</v>
      </c>
      <c r="F28" s="11"/>
      <c r="H28" s="11"/>
      <c r="I28" s="11"/>
      <c r="J28" s="11"/>
      <c r="K28" s="14"/>
      <c r="L28" s="14"/>
    </row>
    <row r="29" spans="4:12" ht="15.75" thickBot="1">
      <c r="D29" s="12" t="s">
        <v>108</v>
      </c>
      <c r="E29" s="12">
        <v>2.109815577833317</v>
      </c>
      <c r="F29" s="12"/>
      <c r="H29" s="11"/>
      <c r="I29" s="11"/>
      <c r="J29" s="11"/>
      <c r="K29" s="14"/>
      <c r="L29" s="14"/>
    </row>
    <row r="30" spans="4:12">
      <c r="H30" s="11"/>
      <c r="I30" s="11"/>
      <c r="J30" s="11"/>
      <c r="K30" s="14"/>
      <c r="L30" s="14"/>
    </row>
    <row r="31" spans="4:12">
      <c r="H31" s="14"/>
      <c r="I31" s="14"/>
      <c r="J31" s="14"/>
      <c r="K31" s="14"/>
      <c r="L31" s="14"/>
    </row>
    <row r="32" spans="4:12">
      <c r="H32" s="14"/>
      <c r="I32" s="14"/>
      <c r="J32" s="14"/>
      <c r="K32" s="14"/>
      <c r="L32" s="14"/>
    </row>
    <row r="33" spans="8:12">
      <c r="H33" s="14"/>
      <c r="I33" s="14"/>
      <c r="J33" s="14"/>
      <c r="K33" s="14"/>
      <c r="L33" s="14"/>
    </row>
    <row r="34" spans="8:12">
      <c r="H34" s="14"/>
      <c r="I34" s="14"/>
      <c r="J34" s="14"/>
      <c r="K34" s="14"/>
      <c r="L34" s="14"/>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BlinkRateMinute</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2025-01-11T22:17:42Z</dcterms:modified>
</cp:coreProperties>
</file>