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Ex3.xml" ContentType="application/vnd.ms-office.chartex+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Ex4.xml" ContentType="application/vnd.ms-office.chartex+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C7914303-8C1E-444D-B72C-27E993281B6A}" xr6:coauthVersionLast="47" xr6:coauthVersionMax="47" xr10:uidLastSave="{00000000-0000-0000-0000-000000000000}"/>
  <bookViews>
    <workbookView xWindow="-110" yWindow="-110" windowWidth="38620" windowHeight="21100" tabRatio="603" activeTab="4" xr2:uid="{00000000-000D-0000-FFFF-FFFF00000000}"/>
  </bookViews>
  <sheets>
    <sheet name="Sheet1" sheetId="1" r:id="rId1"/>
    <sheet name="BlinkDurationMS" sheetId="5" r:id="rId2"/>
    <sheet name="BlinkRateMinute" sheetId="2" r:id="rId3"/>
    <sheet name="SyncedBlink%" sheetId="3" r:id="rId4"/>
    <sheet name="MeanBlinkAsyncMS" sheetId="4" r:id="rId5"/>
  </sheets>
  <definedNames>
    <definedName name="_xlchart.v1.0" hidden="1">BlinkDurationMS!$F$2:$F$12</definedName>
    <definedName name="_xlchart.v1.1" hidden="1">BlinkDurationMS!$N$2:$N$15</definedName>
    <definedName name="_xlchart.v1.10" hidden="1">MeanBlinkAsyncMS!$B$3</definedName>
    <definedName name="_xlchart.v1.11" hidden="1">MeanBlinkAsyncMS!$B$4:$B$13</definedName>
    <definedName name="_xlchart.v1.12" hidden="1">MeanBlinkAsyncMS!$C$3</definedName>
    <definedName name="_xlchart.v1.13" hidden="1">MeanBlinkAsyncMS!$C$4:$C$13</definedName>
    <definedName name="_xlchart.v1.14" hidden="1">MeanBlinkAsyncMS!$J$2:$J$12</definedName>
    <definedName name="_xlchart.v1.15" hidden="1">MeanBlinkAsyncMS!$Q$2:$Q$15</definedName>
    <definedName name="_xlchart.v1.16" hidden="1">MeanBlinkAsyncMS!$B$3</definedName>
    <definedName name="_xlchart.v1.17" hidden="1">MeanBlinkAsyncMS!$B$4:$B$13</definedName>
    <definedName name="_xlchart.v1.18" hidden="1">MeanBlinkAsyncMS!$C$3</definedName>
    <definedName name="_xlchart.v1.19" hidden="1">MeanBlinkAsyncMS!$C$4:$C$13</definedName>
    <definedName name="_xlchart.v1.2" hidden="1">BlinkRateMinute!$F$2:$F$12</definedName>
    <definedName name="_xlchart.v1.20" hidden="1">MeanBlinkAsyncMS!$J$2:$J$12</definedName>
    <definedName name="_xlchart.v1.21" hidden="1">MeanBlinkAsyncMS!$Q$2:$Q$15</definedName>
    <definedName name="_xlchart.v1.3" hidden="1">BlinkRateMinute!$P$2:$P$15</definedName>
    <definedName name="_xlchart.v1.4" hidden="1">'SyncedBlink%'!$D$3</definedName>
    <definedName name="_xlchart.v1.5" hidden="1">'SyncedBlink%'!$D$4:$D$13</definedName>
    <definedName name="_xlchart.v1.6" hidden="1">'SyncedBlink%'!$E$3</definedName>
    <definedName name="_xlchart.v1.7" hidden="1">'SyncedBlink%'!$E$4:$E$13</definedName>
    <definedName name="_xlchart.v1.8" hidden="1">'SyncedBlink%'!$M$3:$M$13</definedName>
    <definedName name="_xlchart.v1.9" hidden="1">'SyncedBlink%'!$T$3:$T$16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5" l="1"/>
  <c r="L20" i="5" l="1"/>
  <c r="L19" i="5"/>
  <c r="D18" i="5"/>
  <c r="P15" i="2" l="1"/>
  <c r="M15" i="2"/>
  <c r="N15" i="2"/>
  <c r="O15" i="2"/>
  <c r="M14" i="2"/>
  <c r="N14" i="2"/>
  <c r="O14" i="2"/>
  <c r="P14" i="2"/>
  <c r="M13" i="2"/>
  <c r="N13" i="2"/>
  <c r="O13" i="2"/>
  <c r="P13" i="2"/>
  <c r="M12" i="2"/>
  <c r="N12" i="2"/>
  <c r="O12" i="2"/>
  <c r="P12" i="2"/>
  <c r="M11" i="2"/>
  <c r="N11" i="2"/>
  <c r="O11" i="2"/>
  <c r="P11" i="2"/>
  <c r="D14" i="2"/>
  <c r="F12" i="2"/>
  <c r="E74" i="2"/>
  <c r="D74" i="2"/>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alcChain>
</file>

<file path=xl/sharedStrings.xml><?xml version="1.0" encoding="utf-8"?>
<sst xmlns="http://schemas.openxmlformats.org/spreadsheetml/2006/main" count="412" uniqueCount="181">
  <si>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</si>
  <si>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</si>
  <si>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</si>
  <si>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</si>
  <si>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</si>
  <si>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</si>
  <si>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</si>
  <si>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</si>
  <si>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</si>
  <si>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</si>
  <si>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</si>
  <si>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</si>
  <si>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</si>
  <si>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</si>
  <si>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</si>
  <si>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</si>
  <si>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</si>
  <si>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</si>
  <si>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</si>
  <si>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</si>
  <si>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</si>
  <si>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</si>
  <si>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</si>
  <si>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</si>
  <si>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</si>
  <si>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</si>
  <si>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</si>
  <si>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</si>
  <si>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</si>
  <si>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</si>
  <si>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</si>
  <si>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</si>
  <si>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</si>
  <si>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</si>
  <si>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</si>
  <si>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</si>
  <si>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</si>
  <si>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</si>
  <si>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</si>
  <si>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</si>
  <si>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</si>
  <si>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</si>
  <si>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</si>
  <si>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</si>
  <si>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</si>
  <si>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</si>
  <si>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</si>
  <si>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</si>
  <si>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</si>
  <si>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</si>
  <si>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</si>
  <si>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</si>
  <si>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</si>
  <si>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</si>
  <si>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</si>
  <si>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</si>
  <si>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</si>
  <si>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</si>
  <si>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</si>
  <si>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</si>
  <si>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</si>
  <si>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</si>
  <si>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</si>
  <si>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</si>
  <si>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</si>
  <si>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</si>
  <si>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</si>
  <si>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</si>
  <si>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</si>
  <si>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</si>
  <si>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</si>
  <si>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</si>
  <si>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</si>
  <si>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</si>
  <si>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</si>
  <si>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</si>
  <si>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</si>
  <si>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</si>
  <si>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</si>
  <si>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</si>
  <si>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</si>
  <si>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</si>
  <si>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</si>
  <si>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</si>
  <si>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</si>
  <si>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</si>
  <si>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</si>
  <si>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</si>
  <si>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</si>
  <si>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</si>
  <si>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</si>
  <si>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</si>
  <si>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</si>
  <si>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</si>
  <si>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</si>
  <si>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</si>
  <si>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</si>
  <si>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</si>
  <si>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</si>
  <si>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</si>
  <si>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</si>
  <si>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</si>
  <si>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</si>
  <si>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</si>
  <si>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</si>
  <si>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</si>
  <si>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</si>
  <si>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</si>
  <si>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</si>
  <si>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Equal Variances</t>
  </si>
  <si>
    <t>Pooled Variance</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</si>
  <si>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</si>
  <si>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</si>
  <si>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</si>
  <si>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</si>
  <si>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</si>
  <si>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</si>
  <si>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</si>
  <si>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</si>
  <si>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</si>
  <si>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</si>
  <si>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</si>
  <si>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</si>
  <si>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</si>
  <si>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</si>
  <si>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</si>
  <si>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</si>
  <si>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</si>
  <si>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</si>
  <si>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</si>
  <si>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</si>
  <si>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</si>
  <si>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</si>
  <si>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</si>
  <si>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</si>
  <si>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</si>
  <si>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</si>
  <si>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</si>
  <si>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</si>
  <si>
    <t>Triads</t>
  </si>
  <si>
    <t>not synced, confirmed by laura</t>
  </si>
  <si>
    <t>synced, confirmed by laura</t>
  </si>
  <si>
    <t xml:space="preserve"> start: 2024-05-07 11:36:51.956</t>
  </si>
  <si>
    <t>start: 2024-05-07 11:36:41.619</t>
  </si>
  <si>
    <t>end: 2024-05-07 11:40:34.824</t>
  </si>
  <si>
    <t>end: 2024-05-07 11:43:38.342</t>
  </si>
  <si>
    <t>s: 2024-11-04 15:46:54.168</t>
  </si>
  <si>
    <t>e: 2024-11-04 15:56:38.717</t>
  </si>
  <si>
    <t>e:2024-11-04 17:15:10.815</t>
  </si>
  <si>
    <t>s: 2024-11-04 17:06:11.026</t>
  </si>
  <si>
    <t>s: 2024-11-11 15:49:25.519</t>
  </si>
  <si>
    <t>e: 2024-11-11 15:57:00.444</t>
  </si>
  <si>
    <t>s: 2024-11-18 15:50:30.315</t>
  </si>
  <si>
    <t>e: 2024-11-18 16:00:45.857</t>
  </si>
  <si>
    <t>TRIAD_2024_05_07_Seminar_Wue_Session_1_Group_4_TS</t>
  </si>
  <si>
    <t>TRIAD_2024_05_07_Seminar_Wue_Session_1_Group_2_TS</t>
  </si>
  <si>
    <t>TRIAD_2024_11_04_Seminar_Mun_Session_1_Group_1_TS</t>
  </si>
  <si>
    <t>DYAD_2024_11_04_Seminar_Mun_Session_1_Group_2_TS</t>
  </si>
  <si>
    <t>TRIAD_2024_11_11_Seminar_Mun_Session_1_Group_1_TS</t>
  </si>
  <si>
    <t>TRIAD_2024_11_18_Seminar_Mun_Session_1_Group_1_TS</t>
  </si>
  <si>
    <t>F-Test Two-Sample for Variances</t>
  </si>
  <si>
    <t>P(F&lt;=f) one-tail</t>
  </si>
  <si>
    <t>F Critical one-tail</t>
  </si>
  <si>
    <t>group_name</t>
  </si>
  <si>
    <t>P3_mean_blink_duration_ms</t>
  </si>
  <si>
    <t>group_size</t>
  </si>
  <si>
    <t>P1_mean_blink_duration_ms</t>
  </si>
  <si>
    <t>P2_mean_blink_duration_ms</t>
  </si>
  <si>
    <t>group_mean_blink_duration_ms</t>
  </si>
  <si>
    <t>DYADS</t>
  </si>
  <si>
    <t>M</t>
  </si>
  <si>
    <t>SD</t>
  </si>
  <si>
    <t>SE</t>
  </si>
  <si>
    <t>TRIADS</t>
  </si>
  <si>
    <t>t-Test: Two-Sample Assuming Unequal Variances</t>
  </si>
  <si>
    <t>count_blinks_participant_reference</t>
  </si>
  <si>
    <t>count_sync_blinks</t>
  </si>
  <si>
    <t>percent_sync_blinks</t>
  </si>
  <si>
    <t>sd</t>
  </si>
  <si>
    <t>se</t>
  </si>
  <si>
    <t>avg_blinks_async_ms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</si>
</sst>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
      <sz val="8"/>
      <name val="Calibri"/>
      <family val="2"/>
      <scheme val="minor"/>
    </font>
    <font>
      <sz val="9.8000000000000007"/>
      <color rgb="FFBCBEC4"/>
      <name val="JetBrains Mono"/>
      <family val="3"/>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23">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3" borderId="0" xfId="0" applyFill="1"/>
    <xf numFmtId="47" fontId="0" fillId="0" borderId="0" xfId="0" applyNumberFormat="1"/>
    <xf numFmtId="0" fontId="0" fillId="0" borderId="0" xfId="0" applyFill="1" applyBorder="1" applyAlignment="1"/>
    <xf numFmtId="0" fontId="0" fillId="0" borderId="1" xfId="0" applyFill="1" applyBorder="1" applyAlignment="1"/>
    <xf numFmtId="0" fontId="3" fillId="0" borderId="2" xfId="0" applyFont="1" applyFill="1" applyBorder="1" applyAlignment="1">
      <alignment horizontal="center"/>
    </xf>
    <xf numFmtId="0" fontId="6" fillId="0" borderId="0" xfId="0" applyFont="1" applyAlignment="1">
      <alignment vertical="center"/>
    </xf>
    <xf numFmtId="0" fontId="0" fillId="0" borderId="0" xfId="0" applyBorder="1"/>
    <xf numFmtId="0" fontId="3" fillId="0" borderId="0" xfId="0" applyFont="1" applyFill="1" applyBorder="1" applyAlignment="1">
      <alignment horizontal="center"/>
    </xf>
    <xf numFmtId="0" fontId="2" fillId="0" borderId="0" xfId="0" applyFont="1" applyBorder="1" applyAlignment="1">
      <alignment vertical="center"/>
    </xf>
    <xf numFmtId="0" fontId="4" fillId="0" borderId="0" xfId="0" applyFont="1" applyBorder="1"/>
    <xf numFmtId="0" fontId="3" fillId="0" borderId="0" xfId="0" applyFont="1" applyBorder="1" applyAlignment="1">
      <alignment horizontal="center"/>
    </xf>
    <xf numFmtId="0" fontId="0" fillId="3" borderId="0" xfId="0" applyFill="1" applyBorder="1" applyAlignment="1"/>
  </cellXfs>
  <cellStyles count="1">
    <cellStyle name="Normal" xfId="0" builtinId="0"/>
  </cellStyles>
  <dxfs count="14">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BlinkRateMinute!$E$2:$E$12</c:f>
              <c:numCache>
                <c:formatCode>General</c:formatCode>
                <c:ptCount val="11"/>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pt idx="10">
                  <c:v>35.347144999999998</c:v>
                </c:pt>
              </c:numCache>
            </c:numRef>
          </c:xVal>
          <c:yVal>
            <c:numRef>
              <c:f>BlinkRateMinute!$D$2:$D$12</c:f>
              <c:numCache>
                <c:formatCode>General</c:formatCode>
                <c:ptCount val="11"/>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pt idx="10">
                  <c:v>18.118190999999999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BlinkRateMinute!$J$2:$J$15</c15:sqref>
                        </c15:formulaRef>
                      </c:ext>
                    </c:extLst>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extLst>
                      <c:ext uri="{02D57815-91ED-43cb-92C2-25804820EDAC}">
                        <c15:formulaRef>
                          <c15:sqref>BlinkRateMinute!$L$2:$L$15</c15:sqref>
                        </c15:formulaRef>
                      </c:ext>
                    </c:extLst>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BlinkRateMinute!$J$2:$J$15</c15:sqref>
                        </c15:formulaRef>
                      </c:ext>
                    </c:extLst>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extLst>
                      <c:ext uri="{02D57815-91ED-43cb-92C2-25804820EDAC}">
                        <c15:formulaRef>
                          <c15:sqref>BlinkRateMinute!$K$2:$K$15</c15:sqref>
                        </c15:formulaRef>
                      </c:ext>
                    </c:extLst>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xVal>
          <c:y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BlinkRateMinute!$J$2:$J$15</c:f>
              <c:numCache>
                <c:formatCode>General</c:formatCode>
                <c:ptCount val="14"/>
                <c:pt idx="0">
                  <c:v>13.27946</c:v>
                </c:pt>
                <c:pt idx="1">
                  <c:v>18.098331000000002</c:v>
                </c:pt>
                <c:pt idx="2">
                  <c:v>2.2134100000000001</c:v>
                </c:pt>
                <c:pt idx="3">
                  <c:v>24.187462</c:v>
                </c:pt>
                <c:pt idx="4">
                  <c:v>13.098208</c:v>
                </c:pt>
                <c:pt idx="5">
                  <c:v>9.9307610000000004</c:v>
                </c:pt>
                <c:pt idx="6">
                  <c:v>18.789473999999998</c:v>
                </c:pt>
                <c:pt idx="7">
                  <c:v>13.606121</c:v>
                </c:pt>
                <c:pt idx="8">
                  <c:v>31.080375</c:v>
                </c:pt>
                <c:pt idx="9">
                  <c:v>32.160544999999999</c:v>
                </c:pt>
                <c:pt idx="10">
                  <c:v>15.797788000000001</c:v>
                </c:pt>
                <c:pt idx="11">
                  <c:v>21.965651999999999</c:v>
                </c:pt>
                <c:pt idx="12">
                  <c:v>18.728362000000001</c:v>
                </c:pt>
                <c:pt idx="13">
                  <c:v>28.657671000000001</c:v>
                </c:pt>
              </c:numCache>
            </c:numRef>
          </c:xVal>
          <c:yVal>
            <c:numRef>
              <c:f>BlinkRateMinute!$O$2:$O$15</c:f>
              <c:numCache>
                <c:formatCode>General</c:formatCode>
                <c:ptCount val="14"/>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pt idx="9">
                  <c:v>20.454107</c:v>
                </c:pt>
                <c:pt idx="10">
                  <c:v>19.267395999999998</c:v>
                </c:pt>
                <c:pt idx="11">
                  <c:v>18.065209499999998</c:v>
                </c:pt>
                <c:pt idx="12">
                  <c:v>23.2126175</c:v>
                </c:pt>
                <c:pt idx="13">
                  <c:v>20.079864499999999</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BlinkRateMinute!$K$2:$K$15</c:f>
              <c:numCache>
                <c:formatCode>General</c:formatCode>
                <c:ptCount val="14"/>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pt idx="9">
                  <c:v>19.296327000000002</c:v>
                </c:pt>
                <c:pt idx="10">
                  <c:v>20.227074999999999</c:v>
                </c:pt>
                <c:pt idx="11">
                  <c:v>14.677982999999999</c:v>
                </c:pt>
                <c:pt idx="12">
                  <c:v>28.883882</c:v>
                </c:pt>
                <c:pt idx="13">
                  <c:v>20.567240000000002</c:v>
                </c:pt>
              </c:numCache>
            </c:numRef>
          </c:xVal>
          <c:yVal>
            <c:numRef>
              <c:f>BlinkRateMinute!$N$2:$N$15</c:f>
              <c:numCache>
                <c:formatCode>General</c:formatCode>
                <c:ptCount val="14"/>
                <c:pt idx="0">
                  <c:v>24.6965565</c:v>
                </c:pt>
                <c:pt idx="1">
                  <c:v>16.377022500000002</c:v>
                </c:pt>
                <c:pt idx="2">
                  <c:v>12.410904</c:v>
                </c:pt>
                <c:pt idx="3">
                  <c:v>41.156185499999999</c:v>
                </c:pt>
                <c:pt idx="4">
                  <c:v>18.539742499999999</c:v>
                </c:pt>
                <c:pt idx="5">
                  <c:v>8.2066704999999995</c:v>
                </c:pt>
                <c:pt idx="6">
                  <c:v>13.1052635</c:v>
                </c:pt>
                <c:pt idx="7">
                  <c:v>23.946773</c:v>
                </c:pt>
                <c:pt idx="8">
                  <c:v>24.5056805</c:v>
                </c:pt>
                <c:pt idx="9">
                  <c:v>26.886215999999997</c:v>
                </c:pt>
                <c:pt idx="10">
                  <c:v>17.0527525</c:v>
                </c:pt>
                <c:pt idx="11">
                  <c:v>21.709043999999999</c:v>
                </c:pt>
                <c:pt idx="12">
                  <c:v>18.134857500000003</c:v>
                </c:pt>
                <c:pt idx="13">
                  <c:v>24.125080000000001</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BlinkRateMinute!$L$2:$L$15</c:f>
              <c:numCache>
                <c:formatCode>General</c:formatCode>
                <c:ptCount val="14"/>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pt idx="9">
                  <c:v>21.611886999999999</c:v>
                </c:pt>
                <c:pt idx="10">
                  <c:v>18.307717</c:v>
                </c:pt>
                <c:pt idx="11">
                  <c:v>21.452435999999999</c:v>
                </c:pt>
                <c:pt idx="12">
                  <c:v>17.541353000000001</c:v>
                </c:pt>
                <c:pt idx="13">
                  <c:v>19.592489</c:v>
                </c:pt>
              </c:numCache>
            </c:numRef>
          </c:xVal>
          <c:yVal>
            <c:numRef>
              <c:f>BlinkRateMinute!$M$2:$M$15</c:f>
              <c:numCache>
                <c:formatCode>General</c:formatCode>
                <c:ptCount val="14"/>
                <c:pt idx="0">
                  <c:v>20.000162</c:v>
                </c:pt>
                <c:pt idx="1">
                  <c:v>23.9507805</c:v>
                </c:pt>
                <c:pt idx="2">
                  <c:v>6.8378550000000002</c:v>
                </c:pt>
                <c:pt idx="3">
                  <c:v>15.984349999999999</c:v>
                </c:pt>
                <c:pt idx="4">
                  <c:v>10.979379999999999</c:v>
                </c:pt>
                <c:pt idx="5">
                  <c:v>10.068688</c:v>
                </c:pt>
                <c:pt idx="6">
                  <c:v>16.5</c:v>
                </c:pt>
                <c:pt idx="7">
                  <c:v>20.273119999999999</c:v>
                </c:pt>
                <c:pt idx="8">
                  <c:v>20.587427999999999</c:v>
                </c:pt>
                <c:pt idx="9">
                  <c:v>25.728436000000002</c:v>
                </c:pt>
                <c:pt idx="10">
                  <c:v>18.012431499999998</c:v>
                </c:pt>
                <c:pt idx="11">
                  <c:v>18.321817499999998</c:v>
                </c:pt>
                <c:pt idx="12">
                  <c:v>23.806122000000002</c:v>
                </c:pt>
                <c:pt idx="13">
                  <c:v>24.612455500000003</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Dyads Blink Rate per</a:t>
            </a:r>
            <a:r>
              <a:rPr lang="en-GB" baseline="0"/>
              <a:t> Minute (BPM)</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7.869114758824483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BlinkRateMinute!$D$62:$D$71</c:f>
              <c:numCache>
                <c:formatCode>General</c:formatCode>
                <c:ptCount val="10"/>
                <c:pt idx="0">
                  <c:v>2.4711409999999998</c:v>
                </c:pt>
                <c:pt idx="1">
                  <c:v>32.033904</c:v>
                </c:pt>
                <c:pt idx="2">
                  <c:v>31.456980000000001</c:v>
                </c:pt>
                <c:pt idx="3">
                  <c:v>38.272494999999999</c:v>
                </c:pt>
                <c:pt idx="4">
                  <c:v>17.652170000000002</c:v>
                </c:pt>
                <c:pt idx="5">
                  <c:v>13.541086</c:v>
                </c:pt>
                <c:pt idx="6">
                  <c:v>22.615593000000001</c:v>
                </c:pt>
                <c:pt idx="7">
                  <c:v>25.324967000000001</c:v>
                </c:pt>
                <c:pt idx="8">
                  <c:v>5.3683930000000002</c:v>
                </c:pt>
                <c:pt idx="9">
                  <c:v>20.296095999999999</c:v>
                </c:pt>
              </c:numCache>
            </c:numRef>
          </c:xVal>
          <c:yVal>
            <c:numRef>
              <c:f>BlinkRateMinute!$E$62:$E$71</c:f>
              <c:numCache>
                <c:formatCode>General</c:formatCode>
                <c:ptCount val="10"/>
                <c:pt idx="0">
                  <c:v>30.938687999999999</c:v>
                </c:pt>
                <c:pt idx="1">
                  <c:v>34.357607000000002</c:v>
                </c:pt>
                <c:pt idx="2">
                  <c:v>32.792991000000001</c:v>
                </c:pt>
                <c:pt idx="3">
                  <c:v>39.090671999999998</c:v>
                </c:pt>
                <c:pt idx="4">
                  <c:v>30.456852999999999</c:v>
                </c:pt>
                <c:pt idx="5">
                  <c:v>38.751725</c:v>
                </c:pt>
                <c:pt idx="6">
                  <c:v>41.354227999999999</c:v>
                </c:pt>
                <c:pt idx="7">
                  <c:v>60.294035000000001</c:v>
                </c:pt>
                <c:pt idx="8">
                  <c:v>24.631449</c:v>
                </c:pt>
                <c:pt idx="9">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BPM Participant 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BPM Participant 1</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data id="1">
      <cx:numDim type="val">
        <cx:f>_xlchart.v1.1</cx:f>
      </cx:numDim>
    </cx:data>
  </cx:chartData>
  <cx:chart>
    <cx:title pos="t" align="ctr" overlay="0">
      <cx:tx>
        <cx:txData>
          <cx:v>Blink Durations in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Blink Durations in Dyads vs Triads</a:t>
          </a:r>
        </a:p>
      </cx:txPr>
    </cx:title>
    <cx:plotArea>
      <cx:plotAreaRegion>
        <cx:series layoutId="boxWhisker" uniqueId="{8E42B4CF-C767-4F7B-8021-4E2E2439F66F}">
          <cx:tx>
            <cx:txData>
              <cx:v>Dyads</cx:v>
            </cx:txData>
          </cx:tx>
          <cx:spPr>
            <a:noFill/>
          </cx:spPr>
          <cx:dataId val="0"/>
          <cx:layoutPr>
            <cx:visibility meanLine="1" meanMarker="1" nonoutliers="1" outliers="1"/>
            <cx:statistics quartileMethod="exclusive"/>
          </cx:layoutPr>
        </cx:series>
        <cx:series layoutId="boxWhisker" uniqueId="{00000001-4CC7-4FA6-8D6A-38409316E009}">
          <cx:tx>
            <cx:txData>
              <cx:v>Triads</cx:v>
            </cx:txData>
          </cx:tx>
          <cx:spPr>
            <a:noFill/>
          </cx:spPr>
          <cx:dataId val="1"/>
          <cx:layoutPr>
            <cx:visibility meanLine="1"/>
            <cx:statistics quartileMethod="exclusive"/>
          </cx:layoutPr>
        </cx:series>
      </cx:plotAreaRegion>
      <cx:axis id="0" hidden="1">
        <cx:catScaling gapWidth="1"/>
        <cx:tickLabels/>
      </cx:axis>
      <cx:axis id="1">
        <cx:valScaling min="100"/>
        <cx:title>
          <cx:tx>
            <cx:txData>
              <cx:v>Blinks Durationin miliseconds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Blinks Durationin miliseconds</a:t>
              </a:r>
            </a:p>
          </cx:txPr>
        </cx:title>
        <cx:majorGridlines/>
        <cx:tickLabels/>
      </cx:axis>
    </cx:plotArea>
    <cx:legend pos="r" align="min" overlay="1">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data id="1">
      <cx:numDim type="val">
        <cx:f>_xlchart.v1.3</cx:f>
      </cx:numDim>
    </cx:data>
  </cx:chartData>
  <cx:chart>
    <cx:title pos="t" align="ctr" overlay="0">
      <cx:tx>
        <cx:txData>
          <cx:v>Dyads vs Triads on BPM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Dyads vs Triads on BPM</a:t>
          </a:r>
        </a:p>
      </cx:txPr>
    </cx:title>
    <cx:plotArea>
      <cx:plotAreaRegion>
        <cx:series layoutId="boxWhisker" uniqueId="{4DFF839D-C16C-4082-A573-2E00517ECB81}">
          <cx:spPr>
            <a:noFill/>
          </cx:spPr>
          <cx:dataId val="0"/>
          <cx:layoutPr>
            <cx:visibility meanLine="1" meanMarker="1" nonoutliers="1" outliers="0"/>
            <cx:statistics quartileMethod="exclusive"/>
          </cx:layoutPr>
        </cx:series>
        <cx:series layoutId="boxWhisker" uniqueId="{00000001-722A-435E-990A-4B385DA554D8}">
          <cx:spPr>
            <a:noFill/>
          </cx:spPr>
          <cx:dataId val="1"/>
          <cx:layoutPr>
            <cx:visibility meanLine="1" meanMarker="1" nonoutliers="1" outliers="0"/>
            <cx:statistics quartileMethod="exclusive"/>
          </cx:layoutPr>
        </cx:series>
      </cx:plotAreaRegion>
      <cx:axis id="0" hidden="1">
        <cx:catScaling gapWidth="1"/>
        <cx:tickLabels/>
      </cx:axis>
      <cx:axis id="1">
        <cx:valScaling/>
        <cx:title>
          <cx:tx>
            <cx:txData>
              <cx:v>Blink Rate per Minute (BPM)</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 Rate per Minute (BPM)</a:t>
              </a:r>
            </a:p>
          </cx:txPr>
        </cx:title>
        <cx:majorGridlines/>
        <cx:tickLabels/>
      </cx:axis>
    </cx:plotArea>
    <cx:legend pos="r" align="min" overlay="1"/>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data id="1">
      <cx:numDim type="val">
        <cx:f>_xlchart.v1.9</cx:f>
      </cx:numDim>
    </cx:data>
  </cx:chartData>
  <cx:chart>
    <cx:title pos="t" align="ctr" overlay="0">
      <cx:tx>
        <cx:txData>
          <cx:v>Synced Blink % on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Synced Blink % on Dyads vs Triads</a:t>
          </a:r>
        </a:p>
      </cx:txPr>
    </cx:title>
    <cx:plotArea>
      <cx:plotAreaRegion>
        <cx:series layoutId="boxWhisker" uniqueId="{5F5FEFE0-8F79-4C9C-BDD4-A3321F378915}">
          <cx:tx>
            <cx:txData>
              <cx:f>_xlchart.v1.4</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_xlchart.v1.6</cx:f>
              <cx:v>Triad</cx:v>
            </cx:txData>
          </cx:tx>
          <cx:spPr>
            <a:noFill/>
          </cx:spPr>
          <cx:dataId val="1"/>
          <cx:layoutPr>
            <cx:visibility meanLine="0" meanMarker="1" nonoutliers="1" outliers="1"/>
            <cx:statistics quartileMethod="exclusive"/>
          </cx:layoutPr>
        </cx:series>
      </cx:plotAreaRegion>
      <cx:axis id="0" hidden="1">
        <cx:catScaling gapWidth="1"/>
        <cx:tickLabels/>
      </cx:axis>
      <cx:axis id="1">
        <cx:valScaling/>
        <cx:title>
          <cx:tx>
            <cx:txData>
              <cx:v>Synchronised Blinks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Synchronised Blinks (%)</a:t>
              </a:r>
            </a:p>
          </cx:txPr>
        </cx:title>
        <cx:majorGridlines/>
        <cx:tickLabels/>
      </cx:axis>
    </cx:plotArea>
    <cx:legend pos="r" align="min" overlay="1"/>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_xlchart.v1.20</cx:f>
      </cx:numDim>
    </cx:data>
    <cx:data id="1">
      <cx:numDim type="val">
        <cx:f>_xlchart.v1.21</cx:f>
      </cx:numDim>
    </cx:data>
  </cx:chartData>
  <cx:chart>
    <cx:title pos="t" align="ctr" overlay="0">
      <cx:tx>
        <cx:txData>
          <cx:v>The mean blink asynchrony (ms) between the onset time of blinks of partners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The mean blink asynchrony (ms) between the onset time of blinks of partners</a:t>
          </a:r>
        </a:p>
      </cx:txPr>
    </cx:title>
    <cx:plotArea>
      <cx:plotAreaRegion>
        <cx:series layoutId="boxWhisker" uniqueId="{A5B4DEED-1E68-4B6B-87B2-059879358505}">
          <cx:tx>
            <cx:txData>
              <cx:f>_xlchart.v1.16</cx:f>
              <cx:v>Dyads</cx:v>
            </cx:txData>
          </cx:tx>
          <cx:spPr>
            <a:noFill/>
          </cx:spPr>
          <cx:dataId val="0"/>
          <cx:layoutPr>
            <cx:visibility meanLine="1" meanMarker="1" nonoutliers="1" outliers="1"/>
            <cx:statistics quartileMethod="exclusive"/>
          </cx:layoutPr>
        </cx:series>
        <cx:series layoutId="boxWhisker" uniqueId="{BE8BCE1F-0F62-4B06-9656-6717B23429AD}">
          <cx:tx>
            <cx:txData>
              <cx:f>_xlchart.v1.18</cx:f>
              <cx:v>Triads</cx:v>
            </cx:txData>
          </cx:tx>
          <cx:spPr>
            <a:noFill/>
          </cx:spPr>
          <cx:dataId val="1"/>
          <cx:layoutPr>
            <cx:visibility meanLine="1" meanMarker="1" nonoutliers="1" outliers="1"/>
            <cx:statistics quartileMethod="exclusive"/>
          </cx:layoutPr>
        </cx:series>
      </cx:plotAreaRegion>
      <cx:axis id="0" hidden="1">
        <cx:catScaling gapWidth="1"/>
        <cx:tickLabels/>
      </cx:axis>
      <cx:axis id="1">
        <cx:valScaling min="200"/>
        <cx:title>
          <cx:tx>
            <cx:txData>
              <cx:v>Miliseconds (ms)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Miliseconds (ms)</a:t>
              </a:r>
            </a:p>
          </cx:txPr>
        </cx:title>
        <cx:majorGridlines/>
        <cx:tickLabels/>
      </cx:axis>
    </cx:plotArea>
    <cx:legend pos="r" align="min" overlay="1"/>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microsoft.com/office/2014/relationships/chartEx" Target="../charts/chartEx3.xml"/></Relationships>
</file>

<file path=xl/drawings/_rels/drawing4.xml.rels><?xml version="1.0" encoding="UTF-8" standalone="yes"?>
<Relationships xmlns="http://schemas.openxmlformats.org/package/2006/relationships"><Relationship Id="rId1"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13</xdr:col>
      <xdr:colOff>682625</xdr:colOff>
      <xdr:row>16</xdr:row>
      <xdr:rowOff>31750</xdr:rowOff>
    </xdr:from>
    <xdr:to>
      <xdr:col>18</xdr:col>
      <xdr:colOff>260350</xdr:colOff>
      <xdr:row>31</xdr:row>
      <xdr:rowOff>6350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E49AE925-4906-3878-DFF6-F3BA9A7A765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3668375" y="2978150"/>
              <a:ext cx="4117975"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263525</xdr:colOff>
      <xdr:row>20</xdr:row>
      <xdr:rowOff>17462</xdr:rowOff>
    </xdr:from>
    <xdr:to>
      <xdr:col>4</xdr:col>
      <xdr:colOff>231775</xdr:colOff>
      <xdr:row>35</xdr:row>
      <xdr:rowOff>52387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442912</xdr:colOff>
      <xdr:row>17</xdr:row>
      <xdr:rowOff>169862</xdr:rowOff>
    </xdr:from>
    <xdr:to>
      <xdr:col>8</xdr:col>
      <xdr:colOff>3792537</xdr:colOff>
      <xdr:row>33</xdr:row>
      <xdr:rowOff>4762</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419100</xdr:colOff>
      <xdr:row>34</xdr:row>
      <xdr:rowOff>69850</xdr:rowOff>
    </xdr:from>
    <xdr:to>
      <xdr:col>8</xdr:col>
      <xdr:colOff>3781425</xdr:colOff>
      <xdr:row>49</xdr:row>
      <xdr:rowOff>98425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425450</xdr:colOff>
      <xdr:row>15</xdr:row>
      <xdr:rowOff>152399</xdr:rowOff>
    </xdr:from>
    <xdr:to>
      <xdr:col>14</xdr:col>
      <xdr:colOff>133350</xdr:colOff>
      <xdr:row>30</xdr:row>
      <xdr:rowOff>184149</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381000</xdr:colOff>
      <xdr:row>0</xdr:row>
      <xdr:rowOff>101599</xdr:rowOff>
    </xdr:from>
    <xdr:to>
      <xdr:col>22</xdr:col>
      <xdr:colOff>485775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406400</xdr:colOff>
      <xdr:row>50</xdr:row>
      <xdr:rowOff>36512</xdr:rowOff>
    </xdr:from>
    <xdr:to>
      <xdr:col>8</xdr:col>
      <xdr:colOff>3759200</xdr:colOff>
      <xdr:row>65</xdr:row>
      <xdr:rowOff>30162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164354</xdr:colOff>
      <xdr:row>62</xdr:row>
      <xdr:rowOff>32871</xdr:rowOff>
    </xdr:from>
    <xdr:to>
      <xdr:col>15</xdr:col>
      <xdr:colOff>328706</xdr:colOff>
      <xdr:row>76</xdr:row>
      <xdr:rowOff>153894</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28F7F133-3464-1E1E-94CD-EEDE7FAACFD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2794504" y="11462871"/>
              <a:ext cx="4552202" cy="269912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250657</xdr:colOff>
      <xdr:row>74</xdr:row>
      <xdr:rowOff>122676</xdr:rowOff>
    </xdr:from>
    <xdr:to>
      <xdr:col>13</xdr:col>
      <xdr:colOff>391613</xdr:colOff>
      <xdr:row>75</xdr:row>
      <xdr:rowOff>43446</xdr:rowOff>
    </xdr:to>
    <xdr:sp macro="" textlink="">
      <xdr:nvSpPr>
        <xdr:cNvPr id="11" name="Right Bracket 10">
          <a:extLst>
            <a:ext uri="{FF2B5EF4-FFF2-40B4-BE49-F238E27FC236}">
              <a16:creationId xmlns:a16="http://schemas.microsoft.com/office/drawing/2014/main" id="{2D671B8F-F4F1-0352-0E3F-675216A0B0D0}"/>
            </a:ext>
          </a:extLst>
        </xdr:cNvPr>
        <xdr:cNvSpPr/>
      </xdr:nvSpPr>
      <xdr:spPr>
        <a:xfrm rot="5400000">
          <a:off x="15171290" y="13319175"/>
          <a:ext cx="104585" cy="1050009"/>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12</xdr:col>
      <xdr:colOff>619626</xdr:colOff>
      <xdr:row>75</xdr:row>
      <xdr:rowOff>9692</xdr:rowOff>
    </xdr:from>
    <xdr:ext cx="325217" cy="264560"/>
    <xdr:sp macro="" textlink="">
      <xdr:nvSpPr>
        <xdr:cNvPr id="12" name="TextBox 11">
          <a:extLst>
            <a:ext uri="{FF2B5EF4-FFF2-40B4-BE49-F238E27FC236}">
              <a16:creationId xmlns:a16="http://schemas.microsoft.com/office/drawing/2014/main" id="{28EAECF1-FDD5-F787-531E-8A8E9BEC9249}"/>
            </a:ext>
          </a:extLst>
        </xdr:cNvPr>
        <xdr:cNvSpPr txBox="1"/>
      </xdr:nvSpPr>
      <xdr:spPr>
        <a:xfrm>
          <a:off x="15078576" y="13833642"/>
          <a:ext cx="32521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11</xdr:col>
      <xdr:colOff>528638</xdr:colOff>
      <xdr:row>28</xdr:row>
      <xdr:rowOff>146050</xdr:rowOff>
    </xdr:from>
    <xdr:to>
      <xdr:col>15</xdr:col>
      <xdr:colOff>206375</xdr:colOff>
      <xdr:row>41</xdr:row>
      <xdr:rowOff>15876</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874794" y="5273675"/>
              <a:ext cx="3317081" cy="2251076"/>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164773</xdr:colOff>
      <xdr:row>16</xdr:row>
      <xdr:rowOff>23868</xdr:rowOff>
    </xdr:from>
    <xdr:to>
      <xdr:col>6</xdr:col>
      <xdr:colOff>564931</xdr:colOff>
      <xdr:row>33</xdr:row>
      <xdr:rowOff>140358</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21AFA72-F260-644B-8F00-F76B6A97F6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64773" y="2966765"/>
              <a:ext cx="4052503" cy="326959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118242</xdr:colOff>
      <xdr:row>31</xdr:row>
      <xdr:rowOff>74448</xdr:rowOff>
    </xdr:from>
    <xdr:to>
      <xdr:col>4</xdr:col>
      <xdr:colOff>324069</xdr:colOff>
      <xdr:row>31</xdr:row>
      <xdr:rowOff>144521</xdr:rowOff>
    </xdr:to>
    <xdr:sp macro="" textlink="">
      <xdr:nvSpPr>
        <xdr:cNvPr id="3" name="Right Bracket 2">
          <a:extLst>
            <a:ext uri="{FF2B5EF4-FFF2-40B4-BE49-F238E27FC236}">
              <a16:creationId xmlns:a16="http://schemas.microsoft.com/office/drawing/2014/main" id="{991DCF15-4252-48FA-9A77-51DD0CF16698}"/>
            </a:ext>
          </a:extLst>
        </xdr:cNvPr>
        <xdr:cNvSpPr/>
      </xdr:nvSpPr>
      <xdr:spPr>
        <a:xfrm rot="5400000">
          <a:off x="2316653" y="5421588"/>
          <a:ext cx="70073" cy="814552"/>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3</xdr:col>
      <xdr:colOff>385612</xdr:colOff>
      <xdr:row>31</xdr:row>
      <xdr:rowOff>142058</xdr:rowOff>
    </xdr:from>
    <xdr:ext cx="254942" cy="264560"/>
    <xdr:sp macro="" textlink="">
      <xdr:nvSpPr>
        <xdr:cNvPr id="4" name="TextBox 3">
          <a:extLst>
            <a:ext uri="{FF2B5EF4-FFF2-40B4-BE49-F238E27FC236}">
              <a16:creationId xmlns:a16="http://schemas.microsoft.com/office/drawing/2014/main" id="{C3CD88C7-C5D2-49B6-9613-D694FF38EC3F}"/>
            </a:ext>
          </a:extLst>
        </xdr:cNvPr>
        <xdr:cNvSpPr txBox="1"/>
      </xdr:nvSpPr>
      <xdr:spPr>
        <a:xfrm>
          <a:off x="2211784" y="5861437"/>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ED4B9B-8B77-46CF-A6E2-C270AF52D3C7}" name="Table7" displayName="Table7" ref="B1:F12" totalsRowShown="0">
  <autoFilter ref="B1:F12" xr:uid="{F6ED4B9B-8B77-46CF-A6E2-C270AF52D3C7}"/>
  <tableColumns count="5">
    <tableColumn id="1" xr3:uid="{E5F0A9EF-0D68-42CC-85AC-6D58A1901A1A}" name="group_name"/>
    <tableColumn id="2" xr3:uid="{00ABDBDA-0A36-44EA-BE12-E663AF37FD44}" name="group_size"/>
    <tableColumn id="3" xr3:uid="{7DA87021-EB8A-4DAF-893E-A1A0D824563F}" name="P1_mean_blink_duration_ms"/>
    <tableColumn id="4" xr3:uid="{6DD1DFF0-25D2-4B2D-896C-D65281AEE46C}" name="P2_mean_blink_duration_ms"/>
    <tableColumn id="5" xr3:uid="{080163F4-E8FE-4E2C-834E-E0E65883FF9C}" name="group_mean_blink_duration_m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ED66298-7890-498B-98F2-11D90C33227F}" name="Table8" displayName="Table8" ref="I1:N15" totalsRowShown="0">
  <autoFilter ref="I1:N15" xr:uid="{FED66298-7890-498B-98F2-11D90C33227F}"/>
  <tableColumns count="6">
    <tableColumn id="1" xr3:uid="{6B2E4683-6B9D-453D-B1C6-66F21E008D10}" name="group_name"/>
    <tableColumn id="2" xr3:uid="{18C0CC99-6FE6-4C91-A3E0-37753A412605}" name="group_size"/>
    <tableColumn id="3" xr3:uid="{B8672744-449C-4C6A-B11A-424A596C596D}" name="P1_mean_blink_duration_ms"/>
    <tableColumn id="4" xr3:uid="{B48FD70D-BC1B-4E1F-B097-92536C36CEE9}" name="P2_mean_blink_duration_ms"/>
    <tableColumn id="5" xr3:uid="{741C8708-38AB-44DF-A99F-F74450F7429D}" name="P3_mean_blink_duration_ms"/>
    <tableColumn id="6" xr3:uid="{C7969031-BD34-4F92-9F66-11938F0FCA70}" name="group_mean_blink_duration_m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2" totalsRowShown="0" dataDxfId="13">
  <autoFilter ref="C1:F12" xr:uid="{AD080257-BFA1-460B-B07A-36A64761A16A}"/>
  <tableColumns count="4">
    <tableColumn id="1" xr3:uid="{4F27821A-74B4-4054-BD57-59CB04F69638}" name="Group" dataDxfId="12"/>
    <tableColumn id="2" xr3:uid="{40FF8A35-FADD-40F8-9C7C-8272D131492D}" name="P1" dataDxfId="11"/>
    <tableColumn id="3" xr3:uid="{57E54AEA-9EE5-4960-BBF2-37C5CACE9F4B}" name="P2" dataDxfId="10"/>
    <tableColumn id="4" xr3:uid="{9B5C91BC-FC38-40B1-900E-1D679A89BBE9}" name="P1_P2_AVG" dataDxfId="9">
      <calculatedColumnFormula>AVERAGE(Table1[[#This Row],[P1]]:Table1[[#This Row],[P2]])</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5" totalsRowShown="0" dataDxfId="8">
  <autoFilter ref="I1:P15" xr:uid="{1613B083-0BCB-449A-A18A-943282863FFE}"/>
  <tableColumns count="8">
    <tableColumn id="1" xr3:uid="{4B00F100-EEAB-4176-8F7C-64576AF95E9C}" name="Group" dataDxfId="7"/>
    <tableColumn id="2" xr3:uid="{0C1C6D39-9F0B-4EFB-8FFF-6819FFEE1A73}" name="P1" dataDxfId="6"/>
    <tableColumn id="3" xr3:uid="{4B646295-E6BA-4208-9890-BF77B7CC4DB0}" name="P2" dataDxfId="5"/>
    <tableColumn id="4" xr3:uid="{90141FC2-ED7D-4A6B-AFC1-04A51D13EAB7}" name="P3" dataDxfId="4"/>
    <tableColumn id="5" xr3:uid="{45EA91F4-80A5-4D09-8BA5-58CA8E684F50}" name="avg_P1P2" dataDxfId="3">
      <calculatedColumnFormula>AVERAGE(Table2[[#This Row],[P1]:[P2]])</calculatedColumnFormula>
    </tableColumn>
    <tableColumn id="6" xr3:uid="{8D95483F-1D1F-4BC0-9A13-DB0617692381}" name="avg_P1P3" dataDxfId="2">
      <calculatedColumnFormula>AVERAGE(J2,L2)</calculatedColumnFormula>
    </tableColumn>
    <tableColumn id="7" xr3:uid="{CEE85F33-BF2F-4114-920C-22ACF0374CF1}" name="avg_P2P3" dataDxfId="1">
      <calculatedColumnFormula>AVERAGE(Table2[[#This Row],[P2]]:Table2[[#This Row],[P3]])</calculatedColumnFormula>
    </tableColumn>
    <tableColumn id="8" xr3:uid="{2974D60E-6187-4B53-9C0A-D6CCD473C533}" name="avg_P123" dataDxfId="0">
      <calculatedColumnFormula>AVERAGE(Table2[[#This Row],[P1]],Table2[[#This Row],[P2]],Table2[[#This Row],[P3]])</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DE5A9D-30CA-46ED-97F0-1C4FEC122E36}" name="Table3" displayName="Table3" ref="I2:M13" totalsRowShown="0">
  <autoFilter ref="I2:M13" xr:uid="{2DDE5A9D-30CA-46ED-97F0-1C4FEC122E36}"/>
  <tableColumns count="5">
    <tableColumn id="1" xr3:uid="{3F2D9A49-CB8D-42DB-9308-C8C69690D536}" name="group_name"/>
    <tableColumn id="2" xr3:uid="{52DE6ABD-824B-4973-B79D-365B55975AD4}" name="group_size"/>
    <tableColumn id="3" xr3:uid="{F4EE57F7-134D-4B1D-A183-5A5DB8EC2A51}" name="count_blinks_participant_reference"/>
    <tableColumn id="4" xr3:uid="{13D1FF19-31EE-4C8B-8D48-6D9C1440961D}" name="count_sync_blinks"/>
    <tableColumn id="5" xr3:uid="{EBCD6D38-DA7A-4B32-A832-56FD5FE27505}" name="percent_sync_blink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C85DFC2-8853-442F-82F5-FC50BCDA248D}" name="Table4" displayName="Table4" ref="P2:T16" totalsRowShown="0">
  <autoFilter ref="P2:T16" xr:uid="{9C85DFC2-8853-442F-82F5-FC50BCDA248D}"/>
  <tableColumns count="5">
    <tableColumn id="1" xr3:uid="{4EBA4596-D512-4014-8443-5406E0A17D40}" name="group_name"/>
    <tableColumn id="2" xr3:uid="{6BE7A398-823C-4857-870A-1AF477ADDFF4}" name="group_size"/>
    <tableColumn id="3" xr3:uid="{155A14E7-67CE-47D1-ABCB-DA40DBA3CD30}" name="count_blinks_participant_reference"/>
    <tableColumn id="4" xr3:uid="{7A67B0EE-5289-48DB-8223-9B55BE9C9BCB}" name="count_sync_blinks"/>
    <tableColumn id="5" xr3:uid="{7D7D6422-F269-4D6B-ACA7-3BF34AF789DD}" name="percent_sync_blinks"/>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C25D1AD-2854-40AA-8354-72C5021373BA}" name="Table5" displayName="Table5" ref="G1:J12" totalsRowShown="0">
  <autoFilter ref="G1:J12" xr:uid="{8C25D1AD-2854-40AA-8354-72C5021373BA}"/>
  <tableColumns count="4">
    <tableColumn id="1" xr3:uid="{6D40A87A-BB4C-4E8C-B2B2-45A314637EAB}" name="group_name"/>
    <tableColumn id="2" xr3:uid="{44B8A537-3D3D-4A32-A4E9-A479A2FBAEB8}" name="group_size"/>
    <tableColumn id="3" xr3:uid="{E56604FE-4744-4494-96E9-2E228A162AAB}" name="count_sync_blinks"/>
    <tableColumn id="4" xr3:uid="{23F049FC-98FA-4630-A819-6E88CF2BB14F}" name="avg_blinks_async_m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064CA2C-1F70-44B8-BBA9-1279DE17B6FA}" name="Table6" displayName="Table6" ref="N1:Q15" totalsRowShown="0">
  <autoFilter ref="N1:Q15" xr:uid="{F064CA2C-1F70-44B8-BBA9-1279DE17B6FA}"/>
  <tableColumns count="4">
    <tableColumn id="1" xr3:uid="{5590ACE3-601B-4874-B2FD-40E7CE33D13C}" name="group_name"/>
    <tableColumn id="2" xr3:uid="{DBD04632-1B48-46B6-8176-FBFC5676F488}" name="group_size"/>
    <tableColumn id="3" xr3:uid="{E2EF6420-C922-43B5-A67E-B09B3D8CAC04}" name="count_sync_blinks"/>
    <tableColumn id="4" xr3:uid="{C1FE3794-32D2-4348-A14B-DA8E4EC94C43}" name="avg_blinks_async_m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9"/>
  <sheetViews>
    <sheetView topLeftCell="A7" workbookViewId="0">
      <selection activeCell="B33" sqref="B33"/>
    </sheetView>
  </sheetViews>
  <sheetFormatPr defaultRowHeight="14.5"/>
  <cols>
    <col min="1" max="1" width="54.54296875" customWidth="1"/>
    <col min="2" max="2" width="27.08984375" customWidth="1"/>
    <col min="3" max="3" width="27.6328125" customWidth="1"/>
    <col min="4" max="4" width="10.81640625" customWidth="1"/>
    <col min="5" max="5" width="11.5429687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F6" t="s">
        <v>140</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s="6" t="s">
        <v>68</v>
      </c>
      <c r="B14" s="1" t="s">
        <v>32</v>
      </c>
      <c r="C14" s="1" t="s">
        <v>33</v>
      </c>
      <c r="D14">
        <v>1</v>
      </c>
      <c r="E14">
        <v>0</v>
      </c>
      <c r="F14" t="s">
        <v>141</v>
      </c>
      <c r="G14" t="s">
        <v>34</v>
      </c>
    </row>
    <row r="15" spans="1:7">
      <c r="A15" s="6" t="s">
        <v>69</v>
      </c>
      <c r="B15" s="1" t="s">
        <v>35</v>
      </c>
      <c r="C15" s="1" t="s">
        <v>36</v>
      </c>
      <c r="D15">
        <v>1</v>
      </c>
      <c r="E15">
        <v>1</v>
      </c>
      <c r="F15" t="s">
        <v>141</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row r="32" spans="1:7">
      <c r="A32" t="s">
        <v>154</v>
      </c>
      <c r="B32" t="s">
        <v>143</v>
      </c>
      <c r="C32" t="s">
        <v>144</v>
      </c>
    </row>
    <row r="33" spans="1:6">
      <c r="A33" t="s">
        <v>155</v>
      </c>
      <c r="B33" s="12" t="s">
        <v>142</v>
      </c>
      <c r="C33" t="s">
        <v>145</v>
      </c>
    </row>
    <row r="36" spans="1:6">
      <c r="A36" t="s">
        <v>156</v>
      </c>
      <c r="B36" t="s">
        <v>146</v>
      </c>
      <c r="C36" t="s">
        <v>147</v>
      </c>
    </row>
    <row r="37" spans="1:6">
      <c r="A37" t="s">
        <v>157</v>
      </c>
      <c r="B37" t="s">
        <v>149</v>
      </c>
      <c r="C37" t="s">
        <v>148</v>
      </c>
      <c r="F37" s="6"/>
    </row>
    <row r="38" spans="1:6">
      <c r="A38" t="s">
        <v>158</v>
      </c>
      <c r="B38" t="s">
        <v>150</v>
      </c>
      <c r="C38" t="s">
        <v>151</v>
      </c>
    </row>
    <row r="39" spans="1:6">
      <c r="A39" t="s">
        <v>159</v>
      </c>
      <c r="B39" t="s">
        <v>152</v>
      </c>
      <c r="C39" t="s">
        <v>153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C3795-97EB-4298-A25F-860B0A0E50BA}">
  <dimension ref="B1:N44"/>
  <sheetViews>
    <sheetView workbookViewId="0">
      <selection activeCell="T40" sqref="T40"/>
    </sheetView>
  </sheetViews>
  <sheetFormatPr defaultRowHeight="14.5"/>
  <cols>
    <col min="1" max="1" width="10.26953125" customWidth="1"/>
    <col min="2" max="2" width="23.81640625" customWidth="1"/>
    <col min="3" max="4" width="15" customWidth="1"/>
    <col min="5" max="5" width="13.54296875" customWidth="1"/>
    <col min="6" max="6" width="14.36328125" customWidth="1"/>
    <col min="9" max="9" width="13.453125" customWidth="1"/>
    <col min="10" max="10" width="11.81640625" customWidth="1"/>
    <col min="11" max="11" width="14.26953125" customWidth="1"/>
    <col min="12" max="12" width="9.7265625" customWidth="1"/>
    <col min="13" max="13" width="27.1796875" customWidth="1"/>
    <col min="14" max="14" width="30.08984375" customWidth="1"/>
  </cols>
  <sheetData>
    <row r="1" spans="2:14">
      <c r="B1" t="s">
        <v>163</v>
      </c>
      <c r="C1" t="s">
        <v>165</v>
      </c>
      <c r="D1" t="s">
        <v>166</v>
      </c>
      <c r="E1" t="s">
        <v>167</v>
      </c>
      <c r="F1" t="s">
        <v>168</v>
      </c>
      <c r="I1" t="s">
        <v>163</v>
      </c>
      <c r="J1" t="s">
        <v>165</v>
      </c>
      <c r="K1" t="s">
        <v>166</v>
      </c>
      <c r="L1" t="s">
        <v>167</v>
      </c>
      <c r="M1" t="s">
        <v>164</v>
      </c>
      <c r="N1" t="s">
        <v>168</v>
      </c>
    </row>
    <row r="2" spans="2:14">
      <c r="B2" t="s">
        <v>65</v>
      </c>
      <c r="C2">
        <v>2</v>
      </c>
      <c r="D2">
        <v>155.283019</v>
      </c>
      <c r="E2">
        <v>175.88665</v>
      </c>
      <c r="F2">
        <v>165.584834</v>
      </c>
      <c r="I2" t="s">
        <v>66</v>
      </c>
      <c r="J2">
        <v>3</v>
      </c>
      <c r="K2">
        <v>192.61988299999999</v>
      </c>
      <c r="L2">
        <v>153.51952</v>
      </c>
      <c r="M2">
        <v>166.052301</v>
      </c>
      <c r="N2">
        <v>170.73056800000001</v>
      </c>
    </row>
    <row r="3" spans="2:14">
      <c r="B3" t="s">
        <v>64</v>
      </c>
      <c r="C3">
        <v>2</v>
      </c>
      <c r="D3">
        <v>218.36752100000001</v>
      </c>
      <c r="E3">
        <v>259.644836</v>
      </c>
      <c r="F3">
        <v>239.006179</v>
      </c>
      <c r="I3" t="s">
        <v>68</v>
      </c>
      <c r="J3">
        <v>3</v>
      </c>
      <c r="K3">
        <v>140.052885</v>
      </c>
      <c r="L3">
        <v>175.77197799999999</v>
      </c>
      <c r="M3">
        <v>235.84090900000001</v>
      </c>
      <c r="N3">
        <v>183.88859099999999</v>
      </c>
    </row>
    <row r="4" spans="2:14">
      <c r="B4" t="s">
        <v>62</v>
      </c>
      <c r="C4">
        <v>2</v>
      </c>
      <c r="D4">
        <v>204.75380699999999</v>
      </c>
      <c r="E4">
        <v>162.682692</v>
      </c>
      <c r="F4">
        <v>183.71825000000001</v>
      </c>
      <c r="I4" t="s">
        <v>69</v>
      </c>
      <c r="J4">
        <v>3</v>
      </c>
      <c r="K4">
        <v>125.67857100000001</v>
      </c>
      <c r="L4">
        <v>171.88356200000001</v>
      </c>
      <c r="M4">
        <v>172.36824300000001</v>
      </c>
      <c r="N4">
        <v>156.64345900000001</v>
      </c>
    </row>
    <row r="5" spans="2:14">
      <c r="B5" t="s">
        <v>61</v>
      </c>
      <c r="C5">
        <v>2</v>
      </c>
      <c r="D5">
        <v>155.45097999999999</v>
      </c>
      <c r="E5">
        <v>176.07033000000001</v>
      </c>
      <c r="F5">
        <v>165.76065500000001</v>
      </c>
      <c r="I5" t="s">
        <v>70</v>
      </c>
      <c r="J5">
        <v>3</v>
      </c>
      <c r="K5">
        <v>197.77333300000001</v>
      </c>
      <c r="L5">
        <v>165.45217400000001</v>
      </c>
      <c r="M5">
        <v>156.27201099999999</v>
      </c>
      <c r="N5">
        <v>173.16583900000001</v>
      </c>
    </row>
    <row r="6" spans="2:14">
      <c r="B6" t="s">
        <v>59</v>
      </c>
      <c r="C6">
        <v>2</v>
      </c>
      <c r="D6">
        <v>241.208955</v>
      </c>
      <c r="E6">
        <v>190.61299399999999</v>
      </c>
      <c r="F6">
        <v>215.91097500000001</v>
      </c>
      <c r="I6" t="s">
        <v>71</v>
      </c>
      <c r="J6">
        <v>3</v>
      </c>
      <c r="K6">
        <v>148.419355</v>
      </c>
      <c r="L6">
        <v>213.963964</v>
      </c>
      <c r="M6">
        <v>182.36454800000001</v>
      </c>
      <c r="N6">
        <v>181.58262199999999</v>
      </c>
    </row>
    <row r="7" spans="2:14">
      <c r="B7" t="s">
        <v>58</v>
      </c>
      <c r="C7">
        <v>2</v>
      </c>
      <c r="D7">
        <v>210.85906</v>
      </c>
      <c r="E7">
        <v>185.06127499999999</v>
      </c>
      <c r="F7">
        <v>197.96016700000001</v>
      </c>
      <c r="I7" t="s">
        <v>73</v>
      </c>
      <c r="J7">
        <v>3</v>
      </c>
      <c r="K7">
        <v>133.942857</v>
      </c>
      <c r="L7">
        <v>253.12820500000001</v>
      </c>
      <c r="M7">
        <v>166.39393899999999</v>
      </c>
      <c r="N7">
        <v>184.48833400000001</v>
      </c>
    </row>
    <row r="8" spans="2:14">
      <c r="B8" t="s">
        <v>57</v>
      </c>
      <c r="C8">
        <v>2</v>
      </c>
      <c r="D8">
        <v>193.80620200000001</v>
      </c>
      <c r="E8">
        <v>155.07327599999999</v>
      </c>
      <c r="F8">
        <v>174.439739</v>
      </c>
      <c r="I8" t="s">
        <v>74</v>
      </c>
      <c r="J8">
        <v>3</v>
      </c>
      <c r="K8">
        <v>206.78022000000001</v>
      </c>
      <c r="L8">
        <v>174.05384599999999</v>
      </c>
      <c r="M8">
        <v>162.85869600000001</v>
      </c>
      <c r="N8">
        <v>181.230921</v>
      </c>
    </row>
    <row r="9" spans="2:14">
      <c r="B9" t="s">
        <v>56</v>
      </c>
      <c r="C9">
        <v>2</v>
      </c>
      <c r="D9">
        <v>158.79097400000001</v>
      </c>
      <c r="E9">
        <v>193.030303</v>
      </c>
      <c r="F9">
        <v>175.91063800000001</v>
      </c>
      <c r="I9" t="s">
        <v>75</v>
      </c>
      <c r="J9">
        <v>3</v>
      </c>
      <c r="K9">
        <v>170.885965</v>
      </c>
      <c r="L9">
        <v>240.30364399999999</v>
      </c>
      <c r="M9">
        <v>178.34482800000001</v>
      </c>
      <c r="N9">
        <v>196.51147900000001</v>
      </c>
    </row>
    <row r="10" spans="2:14">
      <c r="B10" t="s">
        <v>55</v>
      </c>
      <c r="C10">
        <v>2</v>
      </c>
      <c r="D10">
        <v>159.34567899999999</v>
      </c>
      <c r="E10">
        <v>186.157534</v>
      </c>
      <c r="F10">
        <v>172.75160700000001</v>
      </c>
      <c r="I10" t="s">
        <v>49</v>
      </c>
      <c r="J10">
        <v>3</v>
      </c>
      <c r="K10">
        <v>190.14367799999999</v>
      </c>
      <c r="L10">
        <v>176.79674800000001</v>
      </c>
      <c r="M10">
        <v>193.95132699999999</v>
      </c>
      <c r="N10">
        <v>186.96391800000001</v>
      </c>
    </row>
    <row r="11" spans="2:14">
      <c r="B11" t="s">
        <v>54</v>
      </c>
      <c r="C11">
        <v>2</v>
      </c>
      <c r="D11">
        <v>233.86496399999999</v>
      </c>
      <c r="E11">
        <v>190.47191000000001</v>
      </c>
      <c r="F11">
        <v>212.16843700000001</v>
      </c>
      <c r="I11" t="s">
        <v>154</v>
      </c>
      <c r="J11">
        <v>3</v>
      </c>
      <c r="K11">
        <v>149.02941200000001</v>
      </c>
      <c r="L11">
        <v>165.265152</v>
      </c>
      <c r="M11">
        <v>226.71977999999999</v>
      </c>
      <c r="N11">
        <v>180.33811399999999</v>
      </c>
    </row>
    <row r="12" spans="2:14">
      <c r="B12" t="s">
        <v>157</v>
      </c>
      <c r="C12">
        <v>2</v>
      </c>
      <c r="D12">
        <v>162.87719300000001</v>
      </c>
      <c r="E12">
        <v>201.66666699999999</v>
      </c>
      <c r="F12">
        <v>182.27193</v>
      </c>
      <c r="I12" t="s">
        <v>155</v>
      </c>
      <c r="J12">
        <v>3</v>
      </c>
      <c r="K12">
        <v>179.045455</v>
      </c>
      <c r="L12">
        <v>181.13793100000001</v>
      </c>
      <c r="M12">
        <v>153.97183100000001</v>
      </c>
      <c r="N12">
        <v>171.38507200000001</v>
      </c>
    </row>
    <row r="13" spans="2:14">
      <c r="I13" t="s">
        <v>156</v>
      </c>
      <c r="J13">
        <v>3</v>
      </c>
      <c r="K13">
        <v>155.252137</v>
      </c>
      <c r="L13">
        <v>194.52795</v>
      </c>
      <c r="M13">
        <v>173.75877199999999</v>
      </c>
      <c r="N13">
        <v>174.51295300000001</v>
      </c>
    </row>
    <row r="14" spans="2:14">
      <c r="I14" t="s">
        <v>158</v>
      </c>
      <c r="J14">
        <v>3</v>
      </c>
      <c r="K14">
        <v>190.340136</v>
      </c>
      <c r="L14">
        <v>168.39919399999999</v>
      </c>
      <c r="M14">
        <v>227.647887</v>
      </c>
      <c r="N14">
        <v>195.46240599999999</v>
      </c>
    </row>
    <row r="15" spans="2:14">
      <c r="I15" t="s">
        <v>159</v>
      </c>
      <c r="J15">
        <v>3</v>
      </c>
      <c r="K15">
        <v>150.79701499999999</v>
      </c>
      <c r="L15">
        <v>156.904977</v>
      </c>
      <c r="M15">
        <v>177.014218</v>
      </c>
      <c r="N15">
        <v>161.57207</v>
      </c>
    </row>
    <row r="16" spans="2:14">
      <c r="C16" t="s">
        <v>169</v>
      </c>
    </row>
    <row r="17" spans="3:12">
      <c r="C17" t="s">
        <v>170</v>
      </c>
      <c r="D17">
        <f>AVERAGE(Table7[group_mean_blink_duration_ms])</f>
        <v>189.58940100000001</v>
      </c>
    </row>
    <row r="18" spans="3:12">
      <c r="C18" t="s">
        <v>171</v>
      </c>
      <c r="D18">
        <f>_xlfn.STDEV.S(Table7[group_mean_blink_duration_ms])</f>
        <v>23.763211246075965</v>
      </c>
      <c r="K18" t="s">
        <v>173</v>
      </c>
    </row>
    <row r="19" spans="3:12">
      <c r="C19" t="s">
        <v>172</v>
      </c>
      <c r="D19" s="6">
        <v>7.1647999999999996</v>
      </c>
      <c r="K19" t="s">
        <v>170</v>
      </c>
      <c r="L19">
        <f>AVERAGE(Table8[group_mean_blink_duration_ms])</f>
        <v>178.46259614285717</v>
      </c>
    </row>
    <row r="20" spans="3:12">
      <c r="K20" t="s">
        <v>171</v>
      </c>
      <c r="L20">
        <f>_xlfn.STDEV.S(Table8[group_mean_blink_duration_ms])</f>
        <v>11.396998296852855</v>
      </c>
    </row>
    <row r="21" spans="3:12">
      <c r="K21" t="s">
        <v>172</v>
      </c>
      <c r="L21" s="6">
        <v>3.0449999999999999</v>
      </c>
    </row>
    <row r="26" spans="3:12">
      <c r="D26" t="s">
        <v>160</v>
      </c>
      <c r="J26" t="s">
        <v>174</v>
      </c>
    </row>
    <row r="27" spans="3:12" ht="15" thickBot="1"/>
    <row r="28" spans="3:12">
      <c r="D28" s="4"/>
      <c r="E28" s="4" t="s">
        <v>91</v>
      </c>
      <c r="F28" s="4" t="s">
        <v>139</v>
      </c>
      <c r="J28" s="15"/>
      <c r="K28" s="15" t="s">
        <v>91</v>
      </c>
      <c r="L28" s="15" t="s">
        <v>139</v>
      </c>
    </row>
    <row r="29" spans="3:12">
      <c r="D29" t="s">
        <v>99</v>
      </c>
      <c r="E29">
        <v>189.58940100000001</v>
      </c>
      <c r="F29">
        <v>178.46259614285717</v>
      </c>
      <c r="J29" s="13" t="s">
        <v>99</v>
      </c>
      <c r="K29" s="13">
        <v>189.58940100000001</v>
      </c>
      <c r="L29" s="13">
        <v>178.46259614285717</v>
      </c>
    </row>
    <row r="30" spans="3:12">
      <c r="D30" t="s">
        <v>100</v>
      </c>
      <c r="E30">
        <v>564.69020872563124</v>
      </c>
      <c r="F30">
        <v>129.89157017846688</v>
      </c>
      <c r="J30" s="13" t="s">
        <v>100</v>
      </c>
      <c r="K30" s="13">
        <v>564.69020872563124</v>
      </c>
      <c r="L30" s="13">
        <v>129.89157017846688</v>
      </c>
    </row>
    <row r="31" spans="3:12">
      <c r="D31" t="s">
        <v>101</v>
      </c>
      <c r="E31">
        <v>11</v>
      </c>
      <c r="F31">
        <v>14</v>
      </c>
      <c r="J31" s="13" t="s">
        <v>101</v>
      </c>
      <c r="K31" s="13">
        <v>11</v>
      </c>
      <c r="L31" s="13">
        <v>14</v>
      </c>
    </row>
    <row r="32" spans="3:12">
      <c r="D32" t="s">
        <v>103</v>
      </c>
      <c r="E32">
        <v>10</v>
      </c>
      <c r="F32">
        <v>13</v>
      </c>
      <c r="J32" s="13" t="s">
        <v>102</v>
      </c>
      <c r="K32" s="13">
        <v>0</v>
      </c>
      <c r="L32" s="13"/>
    </row>
    <row r="33" spans="2:12">
      <c r="D33" t="s">
        <v>128</v>
      </c>
      <c r="E33">
        <v>4.3473968938073879</v>
      </c>
      <c r="J33" s="13" t="s">
        <v>103</v>
      </c>
      <c r="K33" s="13">
        <v>14</v>
      </c>
      <c r="L33" s="13"/>
    </row>
    <row r="34" spans="2:12">
      <c r="D34" t="s">
        <v>161</v>
      </c>
      <c r="E34" s="11">
        <v>7.8207613269754717E-3</v>
      </c>
      <c r="J34" s="13" t="s">
        <v>104</v>
      </c>
      <c r="K34" s="13">
        <v>1.4291769235957907</v>
      </c>
      <c r="L34" s="13"/>
    </row>
    <row r="35" spans="2:12" ht="15" thickBot="1">
      <c r="D35" s="3" t="s">
        <v>162</v>
      </c>
      <c r="E35" s="3">
        <v>2.671024228555126</v>
      </c>
      <c r="F35" s="3"/>
      <c r="J35" s="13" t="s">
        <v>105</v>
      </c>
      <c r="K35" s="13">
        <v>8.7443105302731736E-2</v>
      </c>
      <c r="L35" s="13"/>
    </row>
    <row r="36" spans="2:12">
      <c r="J36" s="13" t="s">
        <v>106</v>
      </c>
      <c r="K36" s="13">
        <v>1.7613101357748921</v>
      </c>
      <c r="L36" s="13"/>
    </row>
    <row r="37" spans="2:12">
      <c r="J37" s="13" t="s">
        <v>107</v>
      </c>
      <c r="K37" s="13">
        <v>0.17488621060546347</v>
      </c>
      <c r="L37" s="13"/>
    </row>
    <row r="38" spans="2:12" ht="15" thickBot="1">
      <c r="J38" s="14" t="s">
        <v>108</v>
      </c>
      <c r="K38" s="14">
        <v>2.1447866879178044</v>
      </c>
      <c r="L38" s="14"/>
    </row>
    <row r="44" spans="2:12">
      <c r="B44">
        <v>189.58940100000001</v>
      </c>
    </row>
  </sheetData>
  <phoneticPr fontId="5" type="noConversion"/>
  <pageMargins left="0.7" right="0.7" top="0.75" bottom="0.75" header="0.3" footer="0.3"/>
  <pageSetup paperSize="9" orientation="portrait" r:id="rId1"/>
  <drawing r:id="rId2"/>
  <tableParts count="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A116"/>
  <sheetViews>
    <sheetView topLeftCell="F24" zoomScale="145" zoomScaleNormal="145" workbookViewId="0">
      <selection activeCell="U72" sqref="U72"/>
    </sheetView>
  </sheetViews>
  <sheetFormatPr defaultRowHeight="14.5"/>
  <cols>
    <col min="3" max="3" width="57.1796875" customWidth="1"/>
    <col min="4" max="4" width="13" customWidth="1"/>
    <col min="9" max="9" width="58.26953125" customWidth="1"/>
    <col min="13" max="13" width="13" customWidth="1"/>
    <col min="14" max="15" width="11.8164062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c r="I11" s="2" t="s">
        <v>154</v>
      </c>
      <c r="J11" s="2">
        <v>32.160544999999999</v>
      </c>
      <c r="K11" s="2">
        <v>19.296327000000002</v>
      </c>
      <c r="L11" s="2">
        <v>21.611886999999999</v>
      </c>
      <c r="M11" s="2">
        <f>AVERAGE(Table2[[#This Row],[P1]:[P2]])</f>
        <v>25.728436000000002</v>
      </c>
      <c r="N11" s="2">
        <f>AVERAGE(J11,L11)</f>
        <v>26.886215999999997</v>
      </c>
      <c r="O11" s="2">
        <f>AVERAGE(Table2[[#This Row],[P2]]:Table2[[#This Row],[P3]])</f>
        <v>20.454107</v>
      </c>
      <c r="P11" s="2">
        <f>AVERAGE(Table2[[#This Row],[P1]],Table2[[#This Row],[P2]],Table2[[#This Row],[P3]])</f>
        <v>24.356252999999999</v>
      </c>
    </row>
    <row r="12" spans="3:16">
      <c r="C12" s="2" t="s">
        <v>157</v>
      </c>
      <c r="D12" s="2">
        <v>18.118190999999999</v>
      </c>
      <c r="E12" s="2">
        <v>35.347144999999998</v>
      </c>
      <c r="F12" s="2">
        <f>AVERAGE(Table1[[#This Row],[P1]]:Table1[[#This Row],[P2]])</f>
        <v>26.732667999999997</v>
      </c>
      <c r="I12" s="2" t="s">
        <v>155</v>
      </c>
      <c r="J12" s="2">
        <v>15.797788000000001</v>
      </c>
      <c r="K12" s="2">
        <v>20.227074999999999</v>
      </c>
      <c r="L12" s="2">
        <v>18.307717</v>
      </c>
      <c r="M12" s="2">
        <f>AVERAGE(Table2[[#This Row],[P1]:[P2]])</f>
        <v>18.012431499999998</v>
      </c>
      <c r="N12" s="2">
        <f>AVERAGE(J12,L12)</f>
        <v>17.0527525</v>
      </c>
      <c r="O12" s="2">
        <f>AVERAGE(Table2[[#This Row],[P2]]:Table2[[#This Row],[P3]])</f>
        <v>19.267395999999998</v>
      </c>
      <c r="P12" s="2">
        <f>AVERAGE(Table2[[#This Row],[P1]],Table2[[#This Row],[P2]],Table2[[#This Row],[P3]])</f>
        <v>18.110859999999999</v>
      </c>
    </row>
    <row r="13" spans="3:16">
      <c r="D13" t="s">
        <v>91</v>
      </c>
      <c r="I13" s="2" t="s">
        <v>156</v>
      </c>
      <c r="J13" s="2">
        <v>21.965651999999999</v>
      </c>
      <c r="K13" s="2">
        <v>14.677982999999999</v>
      </c>
      <c r="L13" s="2">
        <v>21.452435999999999</v>
      </c>
      <c r="M13" s="2">
        <f>AVERAGE(Table2[[#This Row],[P1]:[P2]])</f>
        <v>18.321817499999998</v>
      </c>
      <c r="N13" s="2">
        <f>AVERAGE(J13,L13)</f>
        <v>21.709043999999999</v>
      </c>
      <c r="O13" s="2">
        <f>AVERAGE(Table2[[#This Row],[P2]]:Table2[[#This Row],[P3]])</f>
        <v>18.065209499999998</v>
      </c>
      <c r="P13" s="2">
        <f>AVERAGE(Table2[[#This Row],[P1]],Table2[[#This Row],[P2]],Table2[[#This Row],[P3]])</f>
        <v>19.365356999999999</v>
      </c>
    </row>
    <row r="14" spans="3:16">
      <c r="D14">
        <f>CORREL(Table1[P1],Table1[P2])</f>
        <v>-9.2422075988005239E-2</v>
      </c>
      <c r="I14" s="2" t="s">
        <v>158</v>
      </c>
      <c r="J14" s="2">
        <v>18.728362000000001</v>
      </c>
      <c r="K14" s="2">
        <v>28.883882</v>
      </c>
      <c r="L14" s="2">
        <v>17.541353000000001</v>
      </c>
      <c r="M14" s="2">
        <f>AVERAGE(Table2[[#This Row],[P1]:[P2]])</f>
        <v>23.806122000000002</v>
      </c>
      <c r="N14" s="2">
        <f>AVERAGE(J14,L14)</f>
        <v>18.134857500000003</v>
      </c>
      <c r="O14" s="2">
        <f>AVERAGE(Table2[[#This Row],[P2]]:Table2[[#This Row],[P3]])</f>
        <v>23.2126175</v>
      </c>
      <c r="P14" s="2">
        <f>AVERAGE(Table2[[#This Row],[P1]],Table2[[#This Row],[P2]],Table2[[#This Row],[P3]])</f>
        <v>21.717865666666668</v>
      </c>
    </row>
    <row r="15" spans="3:16">
      <c r="I15" s="2" t="s">
        <v>159</v>
      </c>
      <c r="J15" s="2">
        <v>28.657671000000001</v>
      </c>
      <c r="K15" s="2">
        <v>20.567240000000002</v>
      </c>
      <c r="L15" s="2">
        <v>19.592489</v>
      </c>
      <c r="M15" s="2">
        <f>AVERAGE(Table2[[#This Row],[P1]:[P2]])</f>
        <v>24.612455500000003</v>
      </c>
      <c r="N15" s="2">
        <f>AVERAGE(J15,L15)</f>
        <v>24.125080000000001</v>
      </c>
      <c r="O15" s="2">
        <f>AVERAGE(Table2[[#This Row],[P2]]:Table2[[#This Row],[P3]])</f>
        <v>20.079864499999999</v>
      </c>
      <c r="P15" s="2">
        <f>AVERAGE(Table2[[#This Row],[P1]],Table2[[#This Row],[P2]],Table2[[#This Row],[P3]])</f>
        <v>22.939133333333334</v>
      </c>
    </row>
    <row r="24" spans="25:27">
      <c r="Y24" s="9"/>
      <c r="Z24" s="9"/>
      <c r="AA24" s="9"/>
    </row>
    <row r="34" spans="4:23">
      <c r="K34" s="9"/>
      <c r="L34" s="9"/>
      <c r="M34" s="9"/>
    </row>
    <row r="41" spans="4:23">
      <c r="U41" s="6"/>
    </row>
    <row r="42" spans="4:23">
      <c r="U42" s="5"/>
    </row>
    <row r="43" spans="4:23">
      <c r="U43" s="9"/>
      <c r="V43" s="9"/>
      <c r="W43" s="9"/>
    </row>
    <row r="47" spans="4:23">
      <c r="K47" t="s">
        <v>109</v>
      </c>
    </row>
    <row r="48" spans="4:23" ht="15" thickBot="1">
      <c r="D48">
        <v>2.4711409999999998</v>
      </c>
      <c r="E48">
        <v>30.938687999999999</v>
      </c>
      <c r="K48" s="5" t="s">
        <v>111</v>
      </c>
    </row>
    <row r="49" spans="4:23">
      <c r="D49">
        <v>32.792991000000001</v>
      </c>
      <c r="E49">
        <v>31.456980000000001</v>
      </c>
      <c r="K49" s="4"/>
      <c r="L49" s="4" t="s">
        <v>91</v>
      </c>
      <c r="M49" s="4" t="s">
        <v>139</v>
      </c>
    </row>
    <row r="50" spans="4:23">
      <c r="D50">
        <v>32.033904</v>
      </c>
      <c r="E50">
        <v>34.357607000000002</v>
      </c>
      <c r="K50" t="s">
        <v>99</v>
      </c>
      <c r="L50">
        <v>28.298797545454548</v>
      </c>
      <c r="M50">
        <v>19.796141166666668</v>
      </c>
    </row>
    <row r="51" spans="4:23">
      <c r="D51">
        <v>38.272494999999999</v>
      </c>
      <c r="E51">
        <v>39.090671999999998</v>
      </c>
      <c r="K51" t="s">
        <v>100</v>
      </c>
      <c r="L51">
        <v>72.672527710951542</v>
      </c>
      <c r="M51">
        <v>33.811604657717908</v>
      </c>
    </row>
    <row r="52" spans="4:23">
      <c r="D52">
        <v>17.652170000000002</v>
      </c>
      <c r="E52">
        <v>30.456852999999999</v>
      </c>
      <c r="K52" t="s">
        <v>101</v>
      </c>
      <c r="L52">
        <v>11</v>
      </c>
      <c r="M52">
        <v>14</v>
      </c>
    </row>
    <row r="53" spans="4:23">
      <c r="D53">
        <v>13.541086</v>
      </c>
      <c r="E53">
        <v>38.751725</v>
      </c>
      <c r="K53" t="s">
        <v>110</v>
      </c>
      <c r="L53">
        <v>50.707658159123838</v>
      </c>
    </row>
    <row r="54" spans="4:23">
      <c r="D54">
        <v>22.615593000000001</v>
      </c>
      <c r="E54">
        <v>41.354227999999999</v>
      </c>
      <c r="K54" t="s">
        <v>102</v>
      </c>
      <c r="L54">
        <v>0</v>
      </c>
    </row>
    <row r="55" spans="4:23">
      <c r="D55">
        <v>60.294035000000001</v>
      </c>
      <c r="E55">
        <v>25.324967000000001</v>
      </c>
      <c r="K55" t="s">
        <v>103</v>
      </c>
      <c r="L55">
        <v>23</v>
      </c>
    </row>
    <row r="56" spans="4:23">
      <c r="D56">
        <v>5.3683930000000002</v>
      </c>
      <c r="E56">
        <v>24.631449</v>
      </c>
      <c r="K56" t="s">
        <v>104</v>
      </c>
      <c r="L56">
        <v>2.9635223522981931</v>
      </c>
    </row>
    <row r="57" spans="4:23">
      <c r="D57">
        <v>27.407136999999999</v>
      </c>
      <c r="E57">
        <v>20.296095999999999</v>
      </c>
      <c r="K57" t="s">
        <v>105</v>
      </c>
      <c r="L57">
        <v>3.4803093563987269E-3</v>
      </c>
      <c r="U57" s="6"/>
    </row>
    <row r="58" spans="4:23">
      <c r="K58" t="s">
        <v>106</v>
      </c>
      <c r="L58">
        <v>1.7138715277470482</v>
      </c>
      <c r="U58" s="5"/>
    </row>
    <row r="59" spans="4:23">
      <c r="K59" t="s">
        <v>107</v>
      </c>
      <c r="L59" s="11">
        <v>6.9606187127974539E-3</v>
      </c>
      <c r="U59" s="9"/>
      <c r="V59" s="9"/>
      <c r="W59" s="9"/>
    </row>
    <row r="60" spans="4:23" ht="15" thickBot="1">
      <c r="K60" s="3" t="s">
        <v>108</v>
      </c>
      <c r="L60" s="3">
        <v>2.0686576104190491</v>
      </c>
      <c r="M60" s="3"/>
    </row>
    <row r="62" spans="4:23">
      <c r="D62">
        <v>2.4711409999999998</v>
      </c>
      <c r="E62">
        <v>30.938687999999999</v>
      </c>
    </row>
    <row r="63" spans="4:23">
      <c r="D63">
        <v>32.033904</v>
      </c>
      <c r="E63">
        <v>34.357607000000002</v>
      </c>
    </row>
    <row r="64" spans="4:23">
      <c r="D64">
        <v>31.456980000000001</v>
      </c>
      <c r="E64">
        <v>32.792991000000001</v>
      </c>
    </row>
    <row r="65" spans="4:6">
      <c r="D65">
        <v>38.272494999999999</v>
      </c>
      <c r="E65">
        <v>39.090671999999998</v>
      </c>
    </row>
    <row r="66" spans="4:6">
      <c r="D66">
        <v>17.652170000000002</v>
      </c>
      <c r="E66">
        <v>30.456852999999999</v>
      </c>
    </row>
    <row r="67" spans="4:6">
      <c r="D67">
        <v>13.541086</v>
      </c>
      <c r="E67">
        <v>38.751725</v>
      </c>
    </row>
    <row r="68" spans="4:6">
      <c r="D68">
        <v>22.615593000000001</v>
      </c>
      <c r="E68">
        <v>41.354227999999999</v>
      </c>
    </row>
    <row r="69" spans="4:6">
      <c r="D69">
        <v>25.324967000000001</v>
      </c>
      <c r="E69">
        <v>60.294035000000001</v>
      </c>
    </row>
    <row r="70" spans="4:6">
      <c r="D70">
        <v>5.3683930000000002</v>
      </c>
      <c r="E70">
        <v>24.631449</v>
      </c>
    </row>
    <row r="71" spans="4:6">
      <c r="D71">
        <v>20.296095999999999</v>
      </c>
      <c r="E71">
        <v>27.407136999999999</v>
      </c>
    </row>
    <row r="73" spans="4:6">
      <c r="D73" t="s">
        <v>112</v>
      </c>
      <c r="E73" t="s">
        <v>113</v>
      </c>
      <c r="F73" t="s">
        <v>114</v>
      </c>
    </row>
    <row r="74" spans="4:6">
      <c r="D74">
        <f>CORREL(D62:D71,E62:E71)</f>
        <v>0.37363996284209972</v>
      </c>
      <c r="E74">
        <f>D74^2</f>
        <v>0.13960682183264567</v>
      </c>
      <c r="F74">
        <v>0.28000000000000003</v>
      </c>
    </row>
    <row r="76" spans="4:6">
      <c r="D76" t="s">
        <v>115</v>
      </c>
    </row>
    <row r="77" spans="4:6" ht="15" thickBot="1"/>
    <row r="78" spans="4:6">
      <c r="D78" s="8" t="s">
        <v>116</v>
      </c>
      <c r="E78" s="8"/>
    </row>
    <row r="79" spans="4:6">
      <c r="D79" t="s">
        <v>117</v>
      </c>
      <c r="E79">
        <v>0.37363996284209949</v>
      </c>
    </row>
    <row r="80" spans="4:6">
      <c r="D80" t="s">
        <v>118</v>
      </c>
      <c r="E80">
        <v>0.1396068218326455</v>
      </c>
    </row>
    <row r="81" spans="4:17">
      <c r="D81" t="s">
        <v>119</v>
      </c>
      <c r="E81">
        <v>3.2057674561726202E-2</v>
      </c>
    </row>
    <row r="82" spans="4:17">
      <c r="D82" t="s">
        <v>120</v>
      </c>
      <c r="E82">
        <v>11.387177956721336</v>
      </c>
      <c r="O82" t="s">
        <v>160</v>
      </c>
    </row>
    <row r="83" spans="4:17" ht="15" thickBot="1">
      <c r="D83" s="3" t="s">
        <v>101</v>
      </c>
      <c r="E83" s="3">
        <v>10</v>
      </c>
    </row>
    <row r="84" spans="4:17">
      <c r="O84" s="4"/>
      <c r="P84" s="4" t="s">
        <v>97</v>
      </c>
      <c r="Q84" s="4" t="s">
        <v>98</v>
      </c>
    </row>
    <row r="85" spans="4:17" ht="15" thickBot="1">
      <c r="D85" t="s">
        <v>121</v>
      </c>
      <c r="O85" t="s">
        <v>99</v>
      </c>
      <c r="P85">
        <v>28.298797545454548</v>
      </c>
      <c r="Q85">
        <v>19.796141166666668</v>
      </c>
    </row>
    <row r="86" spans="4:17">
      <c r="D86" s="4"/>
      <c r="E86" s="4" t="s">
        <v>103</v>
      </c>
      <c r="F86" s="4" t="s">
        <v>126</v>
      </c>
      <c r="G86" s="4" t="s">
        <v>127</v>
      </c>
      <c r="H86" s="4" t="s">
        <v>128</v>
      </c>
      <c r="I86" s="4" t="s">
        <v>129</v>
      </c>
      <c r="O86" t="s">
        <v>100</v>
      </c>
      <c r="P86">
        <v>72.672527710951542</v>
      </c>
      <c r="Q86">
        <v>33.811604657717908</v>
      </c>
    </row>
    <row r="87" spans="4:17">
      <c r="D87" t="s">
        <v>122</v>
      </c>
      <c r="E87">
        <v>1</v>
      </c>
      <c r="F87">
        <v>168.31851258083566</v>
      </c>
      <c r="G87">
        <v>168.31851258083566</v>
      </c>
      <c r="H87">
        <v>1.2980746512194283</v>
      </c>
      <c r="I87">
        <v>0.28752818959490545</v>
      </c>
      <c r="O87" t="s">
        <v>101</v>
      </c>
      <c r="P87">
        <v>11</v>
      </c>
      <c r="Q87">
        <v>14</v>
      </c>
    </row>
    <row r="88" spans="4:17">
      <c r="D88" t="s">
        <v>123</v>
      </c>
      <c r="E88">
        <v>8</v>
      </c>
      <c r="F88">
        <v>1037.3425745443226</v>
      </c>
      <c r="G88">
        <v>129.66782181804032</v>
      </c>
      <c r="O88" t="s">
        <v>103</v>
      </c>
      <c r="P88">
        <v>10</v>
      </c>
      <c r="Q88">
        <v>13</v>
      </c>
    </row>
    <row r="89" spans="4:17" ht="15" thickBot="1">
      <c r="D89" s="3" t="s">
        <v>124</v>
      </c>
      <c r="E89" s="3">
        <v>9</v>
      </c>
      <c r="F89" s="3">
        <v>1205.6610871251582</v>
      </c>
      <c r="G89" s="3"/>
      <c r="H89" s="3"/>
      <c r="I89" s="3"/>
      <c r="O89" t="s">
        <v>128</v>
      </c>
      <c r="P89">
        <v>2.1493368459329587</v>
      </c>
    </row>
    <row r="90" spans="4:17" ht="15" thickBot="1">
      <c r="O90" t="s">
        <v>161</v>
      </c>
      <c r="P90">
        <v>9.843683670970256E-2</v>
      </c>
    </row>
    <row r="91" spans="4:17" ht="15" thickBot="1">
      <c r="D91" s="4"/>
      <c r="E91" s="4" t="s">
        <v>130</v>
      </c>
      <c r="F91" s="4" t="s">
        <v>120</v>
      </c>
      <c r="G91" s="4" t="s">
        <v>104</v>
      </c>
      <c r="H91" s="4" t="s">
        <v>131</v>
      </c>
      <c r="I91" s="4" t="s">
        <v>132</v>
      </c>
      <c r="J91" s="4" t="s">
        <v>133</v>
      </c>
      <c r="K91" s="4" t="s">
        <v>134</v>
      </c>
      <c r="L91" s="4" t="s">
        <v>135</v>
      </c>
      <c r="O91" s="3" t="s">
        <v>162</v>
      </c>
      <c r="P91" s="3">
        <v>2.671024228555126</v>
      </c>
      <c r="Q91" s="3"/>
    </row>
    <row r="92" spans="4:17">
      <c r="D92" t="s">
        <v>125</v>
      </c>
      <c r="E92">
        <v>5.4036584824827152</v>
      </c>
      <c r="F92">
        <v>14.072654641634324</v>
      </c>
      <c r="G92">
        <v>0.3839828817013563</v>
      </c>
      <c r="H92">
        <v>0.71099559982347749</v>
      </c>
      <c r="I92">
        <v>-27.047941314426151</v>
      </c>
      <c r="J92">
        <v>37.855258279391578</v>
      </c>
      <c r="K92">
        <v>-27.047941314426151</v>
      </c>
      <c r="L92">
        <v>37.855258279391578</v>
      </c>
    </row>
    <row r="93" spans="4:17" ht="15" thickBot="1">
      <c r="D93" s="3" t="s">
        <v>136</v>
      </c>
      <c r="E93" s="3">
        <v>0.43045497313062059</v>
      </c>
      <c r="F93" s="3">
        <v>0.3778138680598595</v>
      </c>
      <c r="G93" s="3">
        <v>1.1393307909555634</v>
      </c>
      <c r="H93" s="3">
        <v>0.28752818959490484</v>
      </c>
      <c r="I93" s="3">
        <v>-0.44078536895289705</v>
      </c>
      <c r="J93" s="3">
        <v>1.3016953152141382</v>
      </c>
      <c r="K93" s="3">
        <v>-0.44078536895289705</v>
      </c>
      <c r="L93" s="3">
        <v>1.3016953152141382</v>
      </c>
    </row>
    <row r="99" spans="4:6">
      <c r="D99" s="9"/>
      <c r="E99" s="9"/>
      <c r="F99" s="9"/>
    </row>
    <row r="116" spans="4:6">
      <c r="D116" s="9"/>
      <c r="E116" s="9"/>
      <c r="F116" s="9"/>
    </row>
  </sheetData>
  <pageMargins left="0.7" right="0.7" top="0.75" bottom="0.75" header="0.3" footer="0.3"/>
  <pageSetup paperSize="9" orientation="portrait" r:id="rId1"/>
  <drawing r:id="rId2"/>
  <tableParts count="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D2:T34"/>
  <sheetViews>
    <sheetView topLeftCell="B1" zoomScale="160" zoomScaleNormal="160" workbookViewId="0">
      <selection activeCell="G35" sqref="G35"/>
    </sheetView>
  </sheetViews>
  <sheetFormatPr defaultRowHeight="14.5"/>
  <cols>
    <col min="9" max="9" width="11.90625" customWidth="1"/>
    <col min="10" max="10" width="10.36328125" customWidth="1"/>
    <col min="11" max="11" width="12.90625" customWidth="1"/>
    <col min="12" max="12" width="16.54296875" customWidth="1"/>
    <col min="13" max="13" width="18.08984375" customWidth="1"/>
    <col min="16" max="16" width="11.90625" customWidth="1"/>
    <col min="17" max="17" width="10.36328125" customWidth="1"/>
    <col min="18" max="18" width="12" customWidth="1"/>
    <col min="19" max="19" width="11.6328125" customWidth="1"/>
    <col min="20" max="20" width="11.90625" customWidth="1"/>
  </cols>
  <sheetData>
    <row r="2" spans="4:20">
      <c r="H2" s="2"/>
      <c r="I2" t="s">
        <v>163</v>
      </c>
      <c r="J2" t="s">
        <v>165</v>
      </c>
      <c r="K2" t="s">
        <v>175</v>
      </c>
      <c r="L2" t="s">
        <v>176</v>
      </c>
      <c r="M2" t="s">
        <v>177</v>
      </c>
      <c r="P2" t="s">
        <v>163</v>
      </c>
      <c r="Q2" t="s">
        <v>165</v>
      </c>
      <c r="R2" t="s">
        <v>175</v>
      </c>
      <c r="S2" t="s">
        <v>176</v>
      </c>
      <c r="T2" t="s">
        <v>177</v>
      </c>
    </row>
    <row r="3" spans="4:20">
      <c r="D3" t="s">
        <v>137</v>
      </c>
      <c r="E3" t="s">
        <v>138</v>
      </c>
      <c r="H3" s="2"/>
      <c r="I3" t="s">
        <v>65</v>
      </c>
      <c r="J3">
        <v>2</v>
      </c>
      <c r="K3">
        <v>25</v>
      </c>
      <c r="L3">
        <v>25</v>
      </c>
      <c r="M3">
        <v>0.147929</v>
      </c>
      <c r="P3" t="s">
        <v>66</v>
      </c>
      <c r="Q3">
        <v>3</v>
      </c>
      <c r="R3">
        <v>219.33333300000001</v>
      </c>
      <c r="S3">
        <v>159</v>
      </c>
      <c r="T3">
        <v>0.49503999999999998</v>
      </c>
    </row>
    <row r="4" spans="4:20">
      <c r="D4" s="19"/>
      <c r="E4" s="19"/>
      <c r="F4" s="17"/>
      <c r="G4" s="17"/>
      <c r="H4" s="2"/>
      <c r="I4" t="s">
        <v>64</v>
      </c>
      <c r="J4">
        <v>2</v>
      </c>
      <c r="K4">
        <v>259</v>
      </c>
      <c r="L4">
        <v>225</v>
      </c>
      <c r="M4">
        <v>0.85066200000000003</v>
      </c>
      <c r="P4" t="s">
        <v>68</v>
      </c>
      <c r="Q4">
        <v>3</v>
      </c>
      <c r="R4">
        <v>160.66666699999999</v>
      </c>
      <c r="S4">
        <v>126.666667</v>
      </c>
      <c r="T4">
        <v>0.59295100000000001</v>
      </c>
    </row>
    <row r="5" spans="4:20">
      <c r="D5" s="19"/>
      <c r="E5" s="19"/>
      <c r="F5" s="17"/>
      <c r="G5" s="17"/>
      <c r="H5" s="2"/>
      <c r="I5" t="s">
        <v>62</v>
      </c>
      <c r="J5">
        <v>2</v>
      </c>
      <c r="K5">
        <v>386</v>
      </c>
      <c r="L5">
        <v>352</v>
      </c>
      <c r="M5">
        <v>0.88</v>
      </c>
      <c r="P5" t="s">
        <v>69</v>
      </c>
      <c r="Q5">
        <v>3</v>
      </c>
      <c r="R5">
        <v>67</v>
      </c>
      <c r="S5">
        <v>45.666666999999997</v>
      </c>
      <c r="T5">
        <v>0.25284800000000002</v>
      </c>
    </row>
    <row r="6" spans="4:20">
      <c r="D6" s="19"/>
      <c r="E6" s="19"/>
      <c r="F6" s="17"/>
      <c r="G6" s="17"/>
      <c r="H6" s="2"/>
      <c r="I6" t="s">
        <v>61</v>
      </c>
      <c r="J6">
        <v>2</v>
      </c>
      <c r="K6">
        <v>421</v>
      </c>
      <c r="L6">
        <v>392</v>
      </c>
      <c r="M6">
        <v>0.921269</v>
      </c>
      <c r="P6" t="s">
        <v>70</v>
      </c>
      <c r="Q6">
        <v>3</v>
      </c>
      <c r="R6">
        <v>141.33333300000001</v>
      </c>
      <c r="S6">
        <v>130.33333300000001</v>
      </c>
      <c r="T6">
        <v>0.39312900000000001</v>
      </c>
    </row>
    <row r="7" spans="4:20">
      <c r="D7" s="19"/>
      <c r="E7" s="19"/>
      <c r="F7" s="17"/>
      <c r="G7" s="17"/>
      <c r="H7" s="2"/>
      <c r="I7" t="s">
        <v>59</v>
      </c>
      <c r="J7">
        <v>2</v>
      </c>
      <c r="K7">
        <v>193</v>
      </c>
      <c r="L7">
        <v>158</v>
      </c>
      <c r="M7">
        <v>0.60075999999999996</v>
      </c>
      <c r="P7" t="s">
        <v>71</v>
      </c>
      <c r="Q7">
        <v>3</v>
      </c>
      <c r="R7">
        <v>106.666667</v>
      </c>
      <c r="S7">
        <v>70</v>
      </c>
      <c r="T7">
        <v>0.43397799999999997</v>
      </c>
    </row>
    <row r="8" spans="4:20">
      <c r="D8" s="19"/>
      <c r="E8" s="19"/>
      <c r="F8" s="17"/>
      <c r="G8" s="17"/>
      <c r="H8" s="2"/>
      <c r="I8" t="s">
        <v>58</v>
      </c>
      <c r="J8">
        <v>2</v>
      </c>
      <c r="K8">
        <v>123</v>
      </c>
      <c r="L8">
        <v>118</v>
      </c>
      <c r="M8">
        <v>0.49684200000000001</v>
      </c>
      <c r="P8" t="s">
        <v>73</v>
      </c>
      <c r="Q8">
        <v>3</v>
      </c>
      <c r="R8">
        <v>55.333333000000003</v>
      </c>
      <c r="S8">
        <v>23</v>
      </c>
      <c r="T8">
        <v>0.352771</v>
      </c>
    </row>
    <row r="9" spans="4:20">
      <c r="D9" s="19"/>
      <c r="E9" s="19"/>
      <c r="F9" s="17"/>
      <c r="G9" s="17"/>
      <c r="H9" s="2"/>
      <c r="I9" t="s">
        <v>57</v>
      </c>
      <c r="J9">
        <v>2</v>
      </c>
      <c r="K9">
        <v>245</v>
      </c>
      <c r="L9">
        <v>235</v>
      </c>
      <c r="M9">
        <v>0.67821100000000001</v>
      </c>
      <c r="P9" t="s">
        <v>74</v>
      </c>
      <c r="Q9">
        <v>3</v>
      </c>
      <c r="R9">
        <v>61.333333000000003</v>
      </c>
      <c r="S9">
        <v>39.666666999999997</v>
      </c>
      <c r="T9">
        <v>0.44958799999999999</v>
      </c>
    </row>
    <row r="10" spans="4:20">
      <c r="D10" s="19"/>
      <c r="E10" s="19"/>
      <c r="F10" s="17"/>
      <c r="G10" s="17"/>
      <c r="H10" s="2"/>
      <c r="I10" t="s">
        <v>56</v>
      </c>
      <c r="J10">
        <v>2</v>
      </c>
      <c r="K10">
        <v>344</v>
      </c>
      <c r="L10">
        <v>338</v>
      </c>
      <c r="M10">
        <v>0.58125499999999997</v>
      </c>
      <c r="P10" t="s">
        <v>75</v>
      </c>
      <c r="Q10">
        <v>3</v>
      </c>
      <c r="R10">
        <v>132.66666699999999</v>
      </c>
      <c r="S10">
        <v>119.666667</v>
      </c>
      <c r="T10">
        <v>0.63485400000000003</v>
      </c>
    </row>
    <row r="11" spans="4:20">
      <c r="D11" s="19"/>
      <c r="E11" s="19"/>
      <c r="F11" s="17"/>
      <c r="G11" s="17"/>
      <c r="H11" s="2"/>
      <c r="I11" t="s">
        <v>55</v>
      </c>
      <c r="J11">
        <v>2</v>
      </c>
      <c r="K11">
        <v>51</v>
      </c>
      <c r="L11">
        <v>43</v>
      </c>
      <c r="M11">
        <v>0.30175400000000002</v>
      </c>
      <c r="P11" t="s">
        <v>49</v>
      </c>
      <c r="Q11">
        <v>3</v>
      </c>
      <c r="R11">
        <v>95.666667000000004</v>
      </c>
      <c r="S11">
        <v>70.666667000000004</v>
      </c>
      <c r="T11">
        <v>0.46416099999999999</v>
      </c>
    </row>
    <row r="12" spans="4:20">
      <c r="D12" s="19"/>
      <c r="E12" s="19"/>
      <c r="F12" s="17"/>
      <c r="G12" s="17"/>
      <c r="H12" s="2"/>
      <c r="I12" t="s">
        <v>54</v>
      </c>
      <c r="J12">
        <v>2</v>
      </c>
      <c r="K12">
        <v>137</v>
      </c>
      <c r="L12">
        <v>108</v>
      </c>
      <c r="M12">
        <v>0.67080700000000004</v>
      </c>
      <c r="P12" t="s">
        <v>154</v>
      </c>
      <c r="Q12">
        <v>3</v>
      </c>
      <c r="R12">
        <v>78</v>
      </c>
      <c r="S12">
        <v>60.666666999999997</v>
      </c>
      <c r="T12">
        <v>0.64059900000000003</v>
      </c>
    </row>
    <row r="13" spans="4:20">
      <c r="D13" s="19"/>
      <c r="E13" s="20"/>
      <c r="F13" s="20"/>
      <c r="G13" s="17"/>
      <c r="H13" s="2"/>
      <c r="I13" t="s">
        <v>157</v>
      </c>
      <c r="J13">
        <v>2</v>
      </c>
      <c r="K13">
        <v>163</v>
      </c>
      <c r="L13">
        <v>146</v>
      </c>
      <c r="M13">
        <v>0.60706899999999997</v>
      </c>
      <c r="P13" t="s">
        <v>155</v>
      </c>
      <c r="Q13">
        <v>3</v>
      </c>
      <c r="R13">
        <v>112.666667</v>
      </c>
      <c r="S13">
        <v>70.333332999999996</v>
      </c>
      <c r="T13">
        <v>0.575044</v>
      </c>
    </row>
    <row r="14" spans="4:20">
      <c r="D14" s="17"/>
      <c r="E14" s="17"/>
      <c r="F14" s="17"/>
      <c r="G14" s="17"/>
      <c r="H14" s="2"/>
      <c r="P14" t="s">
        <v>156</v>
      </c>
      <c r="Q14">
        <v>3</v>
      </c>
      <c r="R14">
        <v>165</v>
      </c>
      <c r="S14">
        <v>116.333333</v>
      </c>
      <c r="T14">
        <v>0.61131000000000002</v>
      </c>
    </row>
    <row r="15" spans="4:20">
      <c r="D15" s="17"/>
      <c r="E15" s="17"/>
      <c r="F15" s="17"/>
      <c r="G15" s="17"/>
      <c r="H15" s="2"/>
      <c r="J15" t="s">
        <v>178</v>
      </c>
      <c r="K15">
        <v>0.23619999999999999</v>
      </c>
      <c r="P15" t="s">
        <v>158</v>
      </c>
      <c r="Q15">
        <v>3</v>
      </c>
      <c r="R15">
        <v>136</v>
      </c>
      <c r="S15">
        <v>98</v>
      </c>
      <c r="T15">
        <v>0.59370699999999998</v>
      </c>
    </row>
    <row r="16" spans="4:20">
      <c r="D16" s="17"/>
      <c r="E16" s="17"/>
      <c r="F16" s="17"/>
      <c r="G16" s="17"/>
      <c r="H16" s="2"/>
      <c r="J16" t="s">
        <v>179</v>
      </c>
      <c r="K16">
        <v>7.1199999999999999E-2</v>
      </c>
      <c r="P16" t="s">
        <v>159</v>
      </c>
      <c r="Q16">
        <v>3</v>
      </c>
      <c r="R16">
        <v>204.33333300000001</v>
      </c>
      <c r="S16">
        <v>146.66666699999999</v>
      </c>
      <c r="T16">
        <v>0.62343700000000002</v>
      </c>
    </row>
    <row r="17" spans="4:20">
      <c r="D17" s="17"/>
      <c r="E17" s="17"/>
      <c r="F17" s="17"/>
      <c r="G17" s="17"/>
      <c r="H17" s="2"/>
    </row>
    <row r="18" spans="4:20">
      <c r="D18" s="21"/>
      <c r="E18" s="21"/>
      <c r="F18" s="21"/>
      <c r="G18" s="17"/>
      <c r="H18" s="2"/>
      <c r="J18" t="s">
        <v>160</v>
      </c>
      <c r="N18" s="17"/>
      <c r="O18" s="17" t="s">
        <v>178</v>
      </c>
      <c r="P18" s="17">
        <v>0.12</v>
      </c>
      <c r="R18" t="s">
        <v>174</v>
      </c>
    </row>
    <row r="19" spans="4:20" ht="15" thickBot="1">
      <c r="D19" s="17"/>
      <c r="E19" s="17"/>
      <c r="F19" s="17"/>
      <c r="G19" s="17"/>
      <c r="H19" s="2"/>
      <c r="N19" s="17"/>
      <c r="O19" s="17" t="s">
        <v>179</v>
      </c>
      <c r="P19" s="17"/>
    </row>
    <row r="20" spans="4:20">
      <c r="D20" s="17"/>
      <c r="E20" s="17"/>
      <c r="F20" s="17"/>
      <c r="G20" s="17"/>
      <c r="H20" s="2"/>
      <c r="J20" s="15"/>
      <c r="K20" s="15" t="s">
        <v>97</v>
      </c>
      <c r="L20" s="15" t="s">
        <v>98</v>
      </c>
      <c r="N20" s="18"/>
      <c r="O20" s="18"/>
      <c r="P20" s="18"/>
      <c r="R20" s="15"/>
      <c r="S20" s="15" t="s">
        <v>97</v>
      </c>
      <c r="T20" s="15" t="s">
        <v>98</v>
      </c>
    </row>
    <row r="21" spans="4:20">
      <c r="D21" s="17"/>
      <c r="E21" s="17"/>
      <c r="F21" s="17"/>
      <c r="G21" s="17"/>
      <c r="H21" s="2"/>
      <c r="J21" s="13" t="s">
        <v>99</v>
      </c>
      <c r="K21" s="13">
        <v>0.61241436363636359</v>
      </c>
      <c r="L21" s="13">
        <v>0.50810121428571398</v>
      </c>
      <c r="N21" s="13"/>
      <c r="O21" s="13"/>
      <c r="P21" s="13"/>
      <c r="R21" s="13" t="s">
        <v>99</v>
      </c>
      <c r="S21" s="13">
        <v>0.61241436363636359</v>
      </c>
      <c r="T21" s="13">
        <v>0.5081012142857142</v>
      </c>
    </row>
    <row r="22" spans="4:20">
      <c r="D22" s="17"/>
      <c r="E22" s="17"/>
      <c r="F22" s="17"/>
      <c r="G22" s="17"/>
      <c r="H22" s="2"/>
      <c r="J22" s="13" t="s">
        <v>100</v>
      </c>
      <c r="K22" s="13">
        <v>5.5824288161254551E-2</v>
      </c>
      <c r="L22" s="13">
        <v>1.4623475068181411E-2</v>
      </c>
      <c r="N22" s="13"/>
      <c r="O22" s="13"/>
      <c r="P22" s="13"/>
      <c r="R22" s="13" t="s">
        <v>100</v>
      </c>
      <c r="S22" s="13">
        <v>5.5824288161254551E-2</v>
      </c>
      <c r="T22" s="13">
        <v>1.4623475068181411E-2</v>
      </c>
    </row>
    <row r="23" spans="4:20">
      <c r="D23" s="17"/>
      <c r="E23" s="17"/>
      <c r="F23" s="17"/>
      <c r="G23" s="17"/>
      <c r="H23" s="2"/>
      <c r="J23" s="13" t="s">
        <v>101</v>
      </c>
      <c r="K23" s="13">
        <v>11</v>
      </c>
      <c r="L23" s="13">
        <v>14</v>
      </c>
      <c r="N23" s="13"/>
      <c r="O23" s="13"/>
      <c r="P23" s="13"/>
      <c r="R23" s="13" t="s">
        <v>101</v>
      </c>
      <c r="S23" s="13">
        <v>11</v>
      </c>
      <c r="T23" s="13">
        <v>14</v>
      </c>
    </row>
    <row r="24" spans="4:20">
      <c r="D24" s="17"/>
      <c r="E24" s="17"/>
      <c r="F24" s="17"/>
      <c r="G24" s="17"/>
      <c r="H24" s="2"/>
      <c r="J24" s="13" t="s">
        <v>103</v>
      </c>
      <c r="K24" s="13">
        <v>10</v>
      </c>
      <c r="L24" s="13">
        <v>13</v>
      </c>
      <c r="N24" s="13"/>
      <c r="O24" s="13"/>
      <c r="P24" s="13"/>
      <c r="R24" s="13" t="s">
        <v>102</v>
      </c>
      <c r="S24" s="13">
        <v>0</v>
      </c>
      <c r="T24" s="13"/>
    </row>
    <row r="25" spans="4:20">
      <c r="D25" s="17"/>
      <c r="E25" s="17"/>
      <c r="F25" s="17"/>
      <c r="G25" s="17"/>
      <c r="H25" s="2"/>
      <c r="J25" s="13" t="s">
        <v>128</v>
      </c>
      <c r="K25" s="13">
        <v>3.8174433847615479</v>
      </c>
      <c r="L25" s="13"/>
      <c r="N25" s="13"/>
      <c r="O25" s="13"/>
      <c r="P25" s="13"/>
      <c r="R25" s="13" t="s">
        <v>103</v>
      </c>
      <c r="S25" s="13">
        <v>14</v>
      </c>
      <c r="T25" s="13"/>
    </row>
    <row r="26" spans="4:20">
      <c r="D26" s="17"/>
      <c r="E26" s="17"/>
      <c r="F26" s="17"/>
      <c r="G26" s="17"/>
      <c r="H26" s="2"/>
      <c r="J26" s="13" t="s">
        <v>161</v>
      </c>
      <c r="K26" s="13">
        <v>1.3392402592655414E-2</v>
      </c>
      <c r="L26" s="13"/>
      <c r="N26" s="13"/>
      <c r="O26" s="13"/>
      <c r="P26" s="13"/>
      <c r="R26" s="13" t="s">
        <v>104</v>
      </c>
      <c r="S26" s="13">
        <v>1.3334667165923608</v>
      </c>
      <c r="T26" s="13"/>
    </row>
    <row r="27" spans="4:20" ht="15" thickBot="1">
      <c r="D27" s="17"/>
      <c r="E27" s="17"/>
      <c r="F27" s="17"/>
      <c r="G27" s="17"/>
      <c r="H27" s="2"/>
      <c r="J27" s="14" t="s">
        <v>162</v>
      </c>
      <c r="K27" s="14">
        <v>2.671024228555126</v>
      </c>
      <c r="L27" s="14"/>
      <c r="N27" s="13"/>
      <c r="O27" s="13"/>
      <c r="P27" s="13"/>
      <c r="R27" s="13" t="s">
        <v>105</v>
      </c>
      <c r="S27" s="13">
        <v>0.10183490355630136</v>
      </c>
      <c r="T27" s="13"/>
    </row>
    <row r="28" spans="4:20">
      <c r="D28" s="17"/>
      <c r="E28" s="17"/>
      <c r="F28" s="17"/>
      <c r="G28" s="17"/>
      <c r="N28" s="13"/>
      <c r="O28" s="13"/>
      <c r="P28" s="13"/>
      <c r="R28" s="13" t="s">
        <v>106</v>
      </c>
      <c r="S28" s="13">
        <v>1.7613101357748921</v>
      </c>
      <c r="T28" s="13"/>
    </row>
    <row r="29" spans="4:20">
      <c r="D29" s="17"/>
      <c r="E29" s="17"/>
      <c r="F29" s="17"/>
      <c r="G29" s="17"/>
      <c r="N29" s="13"/>
      <c r="O29" s="13"/>
      <c r="P29" s="13"/>
      <c r="R29" s="13" t="s">
        <v>107</v>
      </c>
      <c r="S29" s="13">
        <v>0.20366980711260271</v>
      </c>
      <c r="T29" s="13"/>
    </row>
    <row r="30" spans="4:20" ht="15" thickBot="1">
      <c r="D30" s="17"/>
      <c r="E30" s="17"/>
      <c r="F30" s="17"/>
      <c r="G30" s="17"/>
      <c r="N30" s="13"/>
      <c r="O30" s="13"/>
      <c r="P30" s="13"/>
      <c r="R30" s="14" t="s">
        <v>108</v>
      </c>
      <c r="S30" s="14">
        <v>2.1447866879178044</v>
      </c>
      <c r="T30" s="14"/>
    </row>
    <row r="31" spans="4:20">
      <c r="D31" s="17"/>
      <c r="E31" s="17"/>
      <c r="F31" s="17"/>
      <c r="G31" s="17"/>
      <c r="N31" s="13"/>
      <c r="O31" s="13"/>
      <c r="P31" s="13"/>
    </row>
    <row r="34" spans="7:9">
      <c r="G34" s="9"/>
      <c r="H34" s="9"/>
      <c r="I34" s="9"/>
    </row>
  </sheetData>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0AEBE-0304-40C9-AD55-B102AE5944DF}">
  <dimension ref="B1:T49"/>
  <sheetViews>
    <sheetView tabSelected="1" zoomScale="145" zoomScaleNormal="145" workbookViewId="0">
      <selection activeCell="Q22" sqref="Q22"/>
    </sheetView>
  </sheetViews>
  <sheetFormatPr defaultRowHeight="14.5"/>
  <cols>
    <col min="7" max="7" width="12.453125" customWidth="1"/>
    <col min="8" max="9" width="10.81640625" customWidth="1"/>
    <col min="10" max="10" width="11.36328125" customWidth="1"/>
    <col min="14" max="14" width="9.36328125" customWidth="1"/>
    <col min="15" max="15" width="10.81640625" customWidth="1"/>
    <col min="16" max="16" width="9.81640625" customWidth="1"/>
    <col min="17" max="17" width="19.453125" customWidth="1"/>
  </cols>
  <sheetData>
    <row r="1" spans="2:20">
      <c r="F1" s="16"/>
      <c r="G1" t="s">
        <v>163</v>
      </c>
      <c r="H1" t="s">
        <v>165</v>
      </c>
      <c r="I1" t="s">
        <v>176</v>
      </c>
      <c r="J1" t="s">
        <v>180</v>
      </c>
      <c r="N1" t="s">
        <v>163</v>
      </c>
      <c r="O1" t="s">
        <v>165</v>
      </c>
      <c r="P1" t="s">
        <v>176</v>
      </c>
      <c r="Q1" t="s">
        <v>180</v>
      </c>
    </row>
    <row r="2" spans="2:20">
      <c r="F2" s="2"/>
      <c r="G2" t="s">
        <v>65</v>
      </c>
      <c r="H2">
        <v>2</v>
      </c>
      <c r="I2">
        <v>25</v>
      </c>
      <c r="J2">
        <v>594.36</v>
      </c>
      <c r="N2" t="s">
        <v>66</v>
      </c>
      <c r="O2">
        <v>3</v>
      </c>
      <c r="P2">
        <v>159</v>
      </c>
      <c r="Q2">
        <v>464.69001100000003</v>
      </c>
    </row>
    <row r="3" spans="2:20">
      <c r="B3" t="s">
        <v>91</v>
      </c>
      <c r="C3" t="s">
        <v>139</v>
      </c>
      <c r="F3" s="2"/>
      <c r="G3" t="s">
        <v>64</v>
      </c>
      <c r="H3">
        <v>2</v>
      </c>
      <c r="I3">
        <v>225</v>
      </c>
      <c r="J3">
        <v>501.77777800000001</v>
      </c>
      <c r="N3" t="s">
        <v>68</v>
      </c>
      <c r="O3">
        <v>3</v>
      </c>
      <c r="P3">
        <v>126.666667</v>
      </c>
      <c r="Q3">
        <v>583.26539500000001</v>
      </c>
    </row>
    <row r="4" spans="2:20">
      <c r="B4">
        <v>594.36</v>
      </c>
      <c r="C4">
        <v>464.69001100000003</v>
      </c>
      <c r="F4" s="2"/>
      <c r="G4" t="s">
        <v>62</v>
      </c>
      <c r="H4">
        <v>2</v>
      </c>
      <c r="I4">
        <v>352</v>
      </c>
      <c r="J4">
        <v>528.82102299999997</v>
      </c>
      <c r="N4" t="s">
        <v>69</v>
      </c>
      <c r="O4">
        <v>3</v>
      </c>
      <c r="P4">
        <v>45.666666999999997</v>
      </c>
      <c r="Q4">
        <v>657.174126</v>
      </c>
    </row>
    <row r="5" spans="2:20">
      <c r="B5">
        <v>501.77777800000001</v>
      </c>
      <c r="C5">
        <v>583.26539500000001</v>
      </c>
      <c r="F5" s="2"/>
      <c r="G5" t="s">
        <v>61</v>
      </c>
      <c r="H5">
        <v>2</v>
      </c>
      <c r="I5">
        <v>392</v>
      </c>
      <c r="J5">
        <v>466.16581600000001</v>
      </c>
      <c r="N5" t="s">
        <v>70</v>
      </c>
      <c r="O5">
        <v>3</v>
      </c>
      <c r="P5">
        <v>130.33333300000001</v>
      </c>
      <c r="Q5">
        <v>438.32892800000002</v>
      </c>
    </row>
    <row r="6" spans="2:20">
      <c r="B6">
        <v>528.82102299999997</v>
      </c>
      <c r="C6">
        <v>657.174126</v>
      </c>
      <c r="F6" s="2"/>
      <c r="G6" t="s">
        <v>59</v>
      </c>
      <c r="H6">
        <v>2</v>
      </c>
      <c r="I6">
        <v>158</v>
      </c>
      <c r="J6">
        <v>592.886076</v>
      </c>
      <c r="N6" t="s">
        <v>71</v>
      </c>
      <c r="O6">
        <v>3</v>
      </c>
      <c r="P6">
        <v>70</v>
      </c>
      <c r="Q6">
        <v>615.38994200000002</v>
      </c>
    </row>
    <row r="7" spans="2:20">
      <c r="B7">
        <v>466.16581600000001</v>
      </c>
      <c r="C7">
        <v>438.32892800000002</v>
      </c>
      <c r="F7" s="2"/>
      <c r="G7" t="s">
        <v>58</v>
      </c>
      <c r="H7">
        <v>2</v>
      </c>
      <c r="I7">
        <v>118</v>
      </c>
      <c r="J7">
        <v>479.042373</v>
      </c>
      <c r="N7" t="s">
        <v>73</v>
      </c>
      <c r="O7">
        <v>3</v>
      </c>
      <c r="P7">
        <v>23</v>
      </c>
      <c r="Q7">
        <v>791.38082399999996</v>
      </c>
    </row>
    <row r="8" spans="2:20">
      <c r="B8">
        <v>592.886076</v>
      </c>
      <c r="C8">
        <v>615.38994200000002</v>
      </c>
      <c r="F8" s="2"/>
      <c r="G8" t="s">
        <v>57</v>
      </c>
      <c r="H8">
        <v>2</v>
      </c>
      <c r="I8">
        <v>235</v>
      </c>
      <c r="J8">
        <v>477.22127699999999</v>
      </c>
      <c r="N8" t="s">
        <v>74</v>
      </c>
      <c r="O8">
        <v>3</v>
      </c>
      <c r="P8">
        <v>39.666666999999997</v>
      </c>
      <c r="Q8">
        <v>695.81287599999996</v>
      </c>
    </row>
    <row r="9" spans="2:20">
      <c r="B9">
        <v>479.042373</v>
      </c>
      <c r="C9">
        <v>791.38082399999996</v>
      </c>
      <c r="F9" s="2"/>
      <c r="G9" t="s">
        <v>56</v>
      </c>
      <c r="H9">
        <v>2</v>
      </c>
      <c r="I9">
        <v>338</v>
      </c>
      <c r="J9">
        <v>331.89349099999998</v>
      </c>
      <c r="N9" t="s">
        <v>75</v>
      </c>
      <c r="O9">
        <v>3</v>
      </c>
      <c r="P9">
        <v>119.666667</v>
      </c>
      <c r="Q9">
        <v>527.410031</v>
      </c>
    </row>
    <row r="10" spans="2:20">
      <c r="B10">
        <v>477.22127699999999</v>
      </c>
      <c r="C10">
        <v>695.81287599999996</v>
      </c>
      <c r="F10" s="2"/>
      <c r="G10" t="s">
        <v>55</v>
      </c>
      <c r="H10">
        <v>2</v>
      </c>
      <c r="I10">
        <v>43</v>
      </c>
      <c r="J10">
        <v>535.348837</v>
      </c>
      <c r="N10" t="s">
        <v>49</v>
      </c>
      <c r="O10">
        <v>3</v>
      </c>
      <c r="P10">
        <v>70.666667000000004</v>
      </c>
      <c r="Q10">
        <v>576.467668</v>
      </c>
      <c r="S10" t="s">
        <v>178</v>
      </c>
      <c r="T10">
        <v>90.976900000000001</v>
      </c>
    </row>
    <row r="11" spans="2:20">
      <c r="B11">
        <v>331.89349099999998</v>
      </c>
      <c r="C11">
        <v>527.410031</v>
      </c>
      <c r="F11" s="2"/>
      <c r="G11" t="s">
        <v>54</v>
      </c>
      <c r="H11">
        <v>2</v>
      </c>
      <c r="I11">
        <v>108</v>
      </c>
      <c r="J11">
        <v>495.25925899999999</v>
      </c>
      <c r="N11" t="s">
        <v>154</v>
      </c>
      <c r="O11">
        <v>3</v>
      </c>
      <c r="P11">
        <v>60.666666999999997</v>
      </c>
      <c r="Q11">
        <v>526.009818</v>
      </c>
      <c r="S11" t="s">
        <v>179</v>
      </c>
      <c r="T11">
        <v>24.314</v>
      </c>
    </row>
    <row r="12" spans="2:20">
      <c r="B12">
        <v>535.348837</v>
      </c>
      <c r="C12">
        <v>576.467668</v>
      </c>
      <c r="F12" s="2"/>
      <c r="G12" t="s">
        <v>157</v>
      </c>
      <c r="H12">
        <v>2</v>
      </c>
      <c r="I12">
        <v>146</v>
      </c>
      <c r="J12">
        <v>537.96575299999995</v>
      </c>
      <c r="N12" t="s">
        <v>155</v>
      </c>
      <c r="O12">
        <v>3</v>
      </c>
      <c r="P12">
        <v>70.333332999999996</v>
      </c>
      <c r="Q12">
        <v>623.76832400000001</v>
      </c>
    </row>
    <row r="13" spans="2:20">
      <c r="B13">
        <v>495.25925899999999</v>
      </c>
      <c r="F13" s="2"/>
      <c r="N13" t="s">
        <v>156</v>
      </c>
      <c r="O13">
        <v>3</v>
      </c>
      <c r="P13">
        <v>116.333333</v>
      </c>
      <c r="Q13">
        <v>618.435472</v>
      </c>
    </row>
    <row r="14" spans="2:20">
      <c r="F14" s="2"/>
      <c r="H14" t="s">
        <v>178</v>
      </c>
      <c r="I14">
        <v>71.617400000000004</v>
      </c>
      <c r="N14" t="s">
        <v>158</v>
      </c>
      <c r="O14">
        <v>3</v>
      </c>
      <c r="P14">
        <v>98</v>
      </c>
      <c r="Q14">
        <v>596.43339800000001</v>
      </c>
    </row>
    <row r="15" spans="2:20">
      <c r="F15" s="2"/>
      <c r="H15" t="s">
        <v>179</v>
      </c>
      <c r="I15">
        <v>21.593399999999999</v>
      </c>
      <c r="N15" t="s">
        <v>159</v>
      </c>
      <c r="O15">
        <v>3</v>
      </c>
      <c r="P15">
        <v>146.66666699999999</v>
      </c>
      <c r="Q15">
        <v>548.124099</v>
      </c>
    </row>
    <row r="16" spans="2:20">
      <c r="F16" s="2"/>
    </row>
    <row r="17" spans="6:16">
      <c r="F17" s="2"/>
    </row>
    <row r="18" spans="6:16">
      <c r="F18" s="2"/>
    </row>
    <row r="19" spans="6:16">
      <c r="F19" s="2"/>
      <c r="I19" t="s">
        <v>160</v>
      </c>
      <c r="N19" t="s">
        <v>109</v>
      </c>
    </row>
    <row r="20" spans="6:16" ht="15" thickBot="1">
      <c r="F20" s="2"/>
    </row>
    <row r="21" spans="6:16">
      <c r="F21" s="2"/>
      <c r="I21" s="15"/>
      <c r="J21" s="15" t="s">
        <v>91</v>
      </c>
      <c r="K21" s="15" t="s">
        <v>139</v>
      </c>
      <c r="N21" s="15"/>
      <c r="O21" s="15" t="s">
        <v>91</v>
      </c>
      <c r="P21" s="15" t="s">
        <v>139</v>
      </c>
    </row>
    <row r="22" spans="6:16">
      <c r="F22" s="2"/>
      <c r="I22" s="13" t="s">
        <v>99</v>
      </c>
      <c r="J22" s="13">
        <v>503.70378936363636</v>
      </c>
      <c r="K22" s="13">
        <v>590.19220800000005</v>
      </c>
      <c r="N22" s="13" t="s">
        <v>99</v>
      </c>
      <c r="O22" s="13">
        <v>503.70378936363636</v>
      </c>
      <c r="P22" s="13">
        <v>590.19220800000005</v>
      </c>
    </row>
    <row r="23" spans="6:16">
      <c r="F23" s="2"/>
      <c r="I23" s="13" t="s">
        <v>100</v>
      </c>
      <c r="J23" s="13">
        <v>5129.0601993342862</v>
      </c>
      <c r="K23" s="13">
        <v>8276.7988895870603</v>
      </c>
      <c r="N23" s="13" t="s">
        <v>100</v>
      </c>
      <c r="O23" s="13">
        <v>5129.0601993342862</v>
      </c>
      <c r="P23" s="13">
        <v>8276.7988895870603</v>
      </c>
    </row>
    <row r="24" spans="6:16">
      <c r="F24" s="2"/>
      <c r="I24" s="13" t="s">
        <v>101</v>
      </c>
      <c r="J24" s="13">
        <v>11</v>
      </c>
      <c r="K24" s="13">
        <v>14</v>
      </c>
      <c r="N24" s="13" t="s">
        <v>101</v>
      </c>
      <c r="O24" s="13">
        <v>11</v>
      </c>
      <c r="P24" s="13">
        <v>14</v>
      </c>
    </row>
    <row r="25" spans="6:16">
      <c r="F25" s="2"/>
      <c r="I25" s="13" t="s">
        <v>103</v>
      </c>
      <c r="J25" s="13">
        <v>10</v>
      </c>
      <c r="K25" s="13">
        <v>13</v>
      </c>
      <c r="N25" s="13" t="s">
        <v>110</v>
      </c>
      <c r="O25" s="13">
        <v>6908.2168503467237</v>
      </c>
      <c r="P25" s="13"/>
    </row>
    <row r="26" spans="6:16">
      <c r="F26" s="2"/>
      <c r="I26" s="13" t="s">
        <v>128</v>
      </c>
      <c r="J26" s="13">
        <v>0.6196912922201232</v>
      </c>
      <c r="K26" s="13"/>
      <c r="N26" s="13" t="s">
        <v>102</v>
      </c>
      <c r="O26" s="13">
        <v>0</v>
      </c>
      <c r="P26" s="13"/>
    </row>
    <row r="27" spans="6:16">
      <c r="F27" s="10"/>
      <c r="I27" s="13" t="s">
        <v>161</v>
      </c>
      <c r="J27" s="13">
        <v>0.22679259849501321</v>
      </c>
      <c r="K27" s="13"/>
      <c r="N27" s="13" t="s">
        <v>103</v>
      </c>
      <c r="O27" s="13">
        <v>23</v>
      </c>
      <c r="P27" s="13"/>
    </row>
    <row r="28" spans="6:16" ht="15" thickBot="1">
      <c r="F28" s="10"/>
      <c r="I28" s="14" t="s">
        <v>162</v>
      </c>
      <c r="J28" s="14">
        <v>0.34635936731356898</v>
      </c>
      <c r="K28" s="14"/>
      <c r="N28" s="13" t="s">
        <v>104</v>
      </c>
      <c r="O28" s="13">
        <v>-2.5826486740414332</v>
      </c>
      <c r="P28" s="13"/>
    </row>
    <row r="29" spans="6:16">
      <c r="F29" s="10"/>
      <c r="N29" s="13" t="s">
        <v>105</v>
      </c>
      <c r="O29" s="13">
        <v>8.3215912662839963E-3</v>
      </c>
      <c r="P29" s="13"/>
    </row>
    <row r="30" spans="6:16">
      <c r="N30" s="13" t="s">
        <v>106</v>
      </c>
      <c r="O30" s="13">
        <v>1.7138715277470482</v>
      </c>
      <c r="P30" s="13"/>
    </row>
    <row r="31" spans="6:16">
      <c r="N31" s="13" t="s">
        <v>107</v>
      </c>
      <c r="O31" s="22">
        <v>1.6643182532567993E-2</v>
      </c>
      <c r="P31" s="13"/>
    </row>
    <row r="32" spans="6:16" ht="15" thickBot="1">
      <c r="N32" s="14" t="s">
        <v>108</v>
      </c>
      <c r="O32" s="14">
        <v>2.0686576104190491</v>
      </c>
      <c r="P32" s="14"/>
    </row>
    <row r="36" spans="2:4">
      <c r="B36" t="s">
        <v>109</v>
      </c>
    </row>
    <row r="37" spans="2:4" ht="15" thickBot="1"/>
    <row r="38" spans="2:4">
      <c r="B38" s="4"/>
      <c r="C38" s="4" t="s">
        <v>97</v>
      </c>
      <c r="D38" s="4" t="s">
        <v>98</v>
      </c>
    </row>
    <row r="39" spans="2:4">
      <c r="B39" t="s">
        <v>99</v>
      </c>
      <c r="C39">
        <v>500.27759300000008</v>
      </c>
      <c r="D39">
        <v>594.43553344444445</v>
      </c>
    </row>
    <row r="40" spans="2:4">
      <c r="B40" t="s">
        <v>100</v>
      </c>
      <c r="C40">
        <v>5555.4812917667441</v>
      </c>
      <c r="D40">
        <v>12447.904788325191</v>
      </c>
    </row>
    <row r="41" spans="2:4">
      <c r="B41" t="s">
        <v>101</v>
      </c>
      <c r="C41">
        <v>10</v>
      </c>
      <c r="D41">
        <v>9</v>
      </c>
    </row>
    <row r="42" spans="2:4">
      <c r="B42" t="s">
        <v>110</v>
      </c>
      <c r="C42">
        <v>8798.974701911895</v>
      </c>
    </row>
    <row r="43" spans="2:4">
      <c r="B43" t="s">
        <v>102</v>
      </c>
      <c r="C43">
        <v>0</v>
      </c>
    </row>
    <row r="44" spans="2:4">
      <c r="B44" t="s">
        <v>103</v>
      </c>
      <c r="C44">
        <v>17</v>
      </c>
    </row>
    <row r="45" spans="2:4">
      <c r="B45" t="s">
        <v>104</v>
      </c>
      <c r="C45">
        <v>-2.1846676115030039</v>
      </c>
    </row>
    <row r="46" spans="2:4">
      <c r="B46" t="s">
        <v>105</v>
      </c>
      <c r="C46">
        <v>2.1603458578222112E-2</v>
      </c>
    </row>
    <row r="47" spans="2:4">
      <c r="B47" t="s">
        <v>106</v>
      </c>
      <c r="C47">
        <v>1.7396067260750732</v>
      </c>
    </row>
    <row r="48" spans="2:4">
      <c r="B48" s="11" t="s">
        <v>107</v>
      </c>
      <c r="C48" s="11">
        <v>4.3206917156444202E-2</v>
      </c>
    </row>
    <row r="49" spans="2:4" ht="15" thickBot="1">
      <c r="B49" s="3" t="s">
        <v>108</v>
      </c>
      <c r="C49" s="3">
        <v>2.109815577833317</v>
      </c>
      <c r="D49" s="3"/>
    </row>
  </sheetData>
  <pageMargins left="0.7" right="0.7" top="0.75" bottom="0.75" header="0.3" footer="0.3"/>
  <pageSetup paperSize="9" orientation="portrait" r:id="rId1"/>
  <drawing r:id="rId2"/>
  <tableParts count="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E6BF80-573F-463D-BEB4-4BAB8F90CD7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BlinkDurationMS</vt:lpstr>
      <vt:lpstr>BlinkRateMinute</vt:lpstr>
      <vt:lpstr>SyncedBlink%</vt:lpstr>
      <vt:lpstr>MeanBlinkAsyncMS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2025-01-17T19:51:50Z</dcterms:modified>
</cp:coreProperties>
</file>