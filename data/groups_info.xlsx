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dobregeo\Documents\GitHub\vilearn_ml\data\"/>
    </mc:Choice>
  </mc:AlternateContent>
  <xr:revisionPtr revIDLastSave="0" documentId="13_ncr:1_{380B2009-E563-432D-9C2E-3F49BF5D4D04}" xr6:coauthVersionLast="47" xr6:coauthVersionMax="47" xr10:uidLastSave="{00000000-0000-0000-0000-000000000000}"/>
  <bookViews>
    <workbookView xWindow="-110" yWindow="-110" windowWidth="38620" windowHeight="21100" tabRatio="603" activeTab="3" xr2:uid="{00000000-000D-0000-FFFF-FFFF00000000}"/>
  </bookViews>
  <sheets>
    <sheet name="Sheet1" sheetId="1" r:id="rId1"/>
    <sheet name="BlinkRateMinute" sheetId="2" r:id="rId2"/>
    <sheet name="Sheet2" sheetId="3" r:id="rId3"/>
    <sheet name="Sheet3" sheetId="4" r:id="rId4"/>
  </sheets>
  <definedNames>
    <definedName name="_xlchart.v1.0" hidden="1">BlinkRateMinute!$F$2:$F$11</definedName>
    <definedName name="_xlchart.v1.1" hidden="1">BlinkRateMinute!$P$2:$P$10</definedName>
    <definedName name="_xlchart.v1.10" hidden="1">Sheet3!$B$3</definedName>
    <definedName name="_xlchart.v1.11" hidden="1">Sheet3!$B$4:$B$13</definedName>
    <definedName name="_xlchart.v1.12" hidden="1">Sheet3!$C$3</definedName>
    <definedName name="_xlchart.v1.13" hidden="1">Sheet3!$C$4:$C$13</definedName>
    <definedName name="_xlchart.v1.2" hidden="1">Sheet2!$D$3</definedName>
    <definedName name="_xlchart.v1.3" hidden="1">Sheet2!$D$4:$D$13</definedName>
    <definedName name="_xlchart.v1.4" hidden="1">Sheet2!$E$3</definedName>
    <definedName name="_xlchart.v1.5" hidden="1">Sheet2!$E$4:$E$13</definedName>
    <definedName name="_xlchart.v1.6" hidden="1">Sheet3!$B$3</definedName>
    <definedName name="_xlchart.v1.7" hidden="1">Sheet3!$B$4:$B$13</definedName>
    <definedName name="_xlchart.v1.8" hidden="1">Sheet3!$C$3</definedName>
    <definedName name="_xlchart.v1.9" hidden="1">Sheet3!$C$4:$C$13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2" l="1"/>
  <c r="D74" i="2"/>
  <c r="P2" i="2"/>
  <c r="P3" i="2"/>
  <c r="P4" i="2"/>
  <c r="P5" i="2"/>
  <c r="P6" i="2"/>
  <c r="P7" i="2"/>
  <c r="P8" i="2"/>
  <c r="P9" i="2"/>
  <c r="P10" i="2"/>
  <c r="F2" i="2"/>
  <c r="F3" i="2"/>
  <c r="F4" i="2"/>
  <c r="F5" i="2"/>
  <c r="F6" i="2"/>
  <c r="F7" i="2"/>
  <c r="F8" i="2"/>
  <c r="F9" i="2"/>
  <c r="F10" i="2"/>
  <c r="F11" i="2"/>
  <c r="O2" i="2" l="1"/>
  <c r="O3" i="2"/>
  <c r="O4" i="2"/>
  <c r="O5" i="2"/>
  <c r="O6" i="2"/>
  <c r="O7" i="2"/>
  <c r="O8" i="2"/>
  <c r="O9" i="2"/>
  <c r="O10" i="2"/>
  <c r="N6" i="2"/>
  <c r="N3" i="2"/>
  <c r="N2" i="2"/>
  <c r="N4" i="2"/>
  <c r="N5" i="2"/>
  <c r="N7" i="2"/>
  <c r="N8" i="2"/>
  <c r="N9" i="2"/>
  <c r="N10" i="2"/>
  <c r="M2" i="2"/>
  <c r="M3" i="2"/>
  <c r="M4" i="2"/>
  <c r="M5" i="2"/>
  <c r="M6" i="2"/>
  <c r="M7" i="2"/>
  <c r="M8" i="2"/>
  <c r="M9" i="2"/>
  <c r="M10" i="2"/>
  <c r="D14" i="2"/>
</calcChain>
</file>

<file path=xl/sharedStrings.xml><?xml version="1.0" encoding="utf-8"?>
<sst xmlns="http://schemas.openxmlformats.org/spreadsheetml/2006/main" count="250" uniqueCount="150">
  <si>
    <t>Group</t>
  </si>
  <si>
    <t>Start</t>
  </si>
  <si>
    <t>End</t>
  </si>
  <si>
    <t>Notes</t>
  </si>
  <si>
    <t>2023-11-06 16:16:48.000</t>
  </si>
  <si>
    <t>2023-11-06 16:26:55.000</t>
  </si>
  <si>
    <t>The blue Participant is hovering up in the Air through the whole recording.</t>
  </si>
  <si>
    <t>2023-11-06 17:11:36.000</t>
  </si>
  <si>
    <t>2023-11-06 17:19:50.000</t>
  </si>
  <si>
    <t>They are looking at the Teacher all the time.</t>
  </si>
  <si>
    <t>2023-12-19 11:27:21.000</t>
  </si>
  <si>
    <t>2023-12-19 11:39:24.000</t>
  </si>
  <si>
    <t>2023-12-19 11:27:30.000</t>
  </si>
  <si>
    <t>2023-12-19 11:38:30.000</t>
  </si>
  <si>
    <t>People look at the floor a lot in the end. This could be an indicator for noisy data. In General it seems like they would look at each other but the video shows them looking past each other.</t>
  </si>
  <si>
    <t>2023-12-19 11:29:30.000</t>
  </si>
  <si>
    <t>Seems like the recording of two participants of thwo different Groups. At the beginning (01:32) there is a different Person talking that is not the Teacher. They are often times speaking at the same time and about different things(06:00, 06:35 -&gt; 07:00).</t>
  </si>
  <si>
    <t>2023-12-19 15:17:50.000</t>
  </si>
  <si>
    <t>2023-12-19 15:28:46.000</t>
  </si>
  <si>
    <t>2023-12-19 15:19:50.000</t>
  </si>
  <si>
    <t>2023-12-19 15:28:55.000</t>
  </si>
  <si>
    <t>In the beginning they talk ca 2 min about some technical stuff. There is a delay in the Voice recording. You can hear the voice of one of the Participants ca 1 sec in the background before you can hear it in the recording, whlie the girl reacts instant to the voice in the background.</t>
  </si>
  <si>
    <t>2023-12-19 15:18:00.000</t>
  </si>
  <si>
    <t>2023-12-19 15:28:50.000</t>
  </si>
  <si>
    <t>2024-05-07 13:16:40.000</t>
  </si>
  <si>
    <t>They talk in the first 30 Seconds about their positions not beeing correct. Then they decide to do the task anywasy.</t>
  </si>
  <si>
    <t>In the first half of the Video they dont know, what to do. Their avatars are glitching in and out of them at times.</t>
  </si>
  <si>
    <t>2024-06-14 15:36:05.000</t>
  </si>
  <si>
    <t>They are fooling around a lot with their Avatars and the virtual Screens. On top they are only talking about the task a short time and quickly switching to Soccer talks.</t>
  </si>
  <si>
    <t>2023-10-23 16:02:22.000</t>
  </si>
  <si>
    <t>2023-10-23 16:14:43.000</t>
  </si>
  <si>
    <t>People look at the floor a lot, could be beacause there is some UI Control tho.</t>
  </si>
  <si>
    <t>2023-12-19 11:27:50.000</t>
  </si>
  <si>
    <t>2023-12-19 11:38:00.000</t>
  </si>
  <si>
    <t>The Participant in red is floating the whole time. I dont know if the eye data can still be used</t>
  </si>
  <si>
    <t>2023-12-19 13:26:35.000</t>
  </si>
  <si>
    <t>2023-12-19 13:39:14.000</t>
  </si>
  <si>
    <t>The Participant in red is stuck  in the floor the whole time. Seems like they look at each other despite that</t>
  </si>
  <si>
    <t>2024-05-07 13:16:50.000</t>
  </si>
  <si>
    <t>2024-05-07 13:27:30.000</t>
  </si>
  <si>
    <t>In the end they complain a lot about how uncomfertable the headset is.</t>
  </si>
  <si>
    <t>2024-05-07 13:17:17.000</t>
  </si>
  <si>
    <t>2024-05-07 13:27:40.000</t>
  </si>
  <si>
    <t>2024-06-14 11:34:45.000</t>
  </si>
  <si>
    <t>2024-06-14 11:39:00.000</t>
  </si>
  <si>
    <t>The green participant is stuck in the floor and is not audible in the recording. Only the other two girls. After 5 min they just goof around</t>
  </si>
  <si>
    <t>2024-06-14 13:31:05.000</t>
  </si>
  <si>
    <t>2024-06-14 15:42:51.000</t>
  </si>
  <si>
    <t>The Video is cut off in the end mid conversation</t>
  </si>
  <si>
    <t>TRIAD_2023_10_30_Seminar_Munich_No_VAD</t>
  </si>
  <si>
    <t>2023-10-30 16:16:11.000</t>
  </si>
  <si>
    <t>2023-10-30 16:08:39.272</t>
  </si>
  <si>
    <t>Valid for gaze?</t>
  </si>
  <si>
    <t>TODO</t>
  </si>
  <si>
    <t>DYAD_2024_06_14_Seminar_Wue_Session_3_Group_5_TS</t>
  </si>
  <si>
    <t>DYAD_2024_06_14_Seminar_Wue_Session_1_Group_2_TS</t>
  </si>
  <si>
    <t>DYAD_2024_05_07_Seminar_Wue_Session_2_Group_1_TS</t>
  </si>
  <si>
    <t>DYAD_2023_12_19_Seminar_Wue_Session_4_Group_5_TS</t>
  </si>
  <si>
    <t>DYAD_2023_12_19_Seminar_Wue_Session_4_Group_2_TS</t>
  </si>
  <si>
    <t>DYAD_2023_12_19_Seminar_Wue_Session_4_Group_1_TS</t>
  </si>
  <si>
    <t>DYAD_2023_12_19_Seminar_Wue_Session_2_Group_5_TS</t>
  </si>
  <si>
    <t>DYAD_2023_12_19_Seminar_Wue_Session_2_Group_4_TS</t>
  </si>
  <si>
    <t>DYAD_2023_12_19_Seminar_Wue_Session_2_Group_2_TS</t>
  </si>
  <si>
    <t>DYAD_2023_12_19_Seminar_Wue_Session_1_Group_2_TS</t>
  </si>
  <si>
    <t>DYAD_2023_11_06_Seminar_Munich_Session_2_Group_1_TS</t>
  </si>
  <si>
    <t>DYAD_2023_11_06_Seminar_Munich_Session_1_Group_1_TS</t>
  </si>
  <si>
    <t>TRIAD_2023_10_23_Seminar_Munich_Session_1_Group_1_TS</t>
  </si>
  <si>
    <t>TRIAD_2023_12_19_Seminar_Wue_Session_1_Group_1_TS</t>
  </si>
  <si>
    <t>TRIAD_2023_12_19_Seminar_Wue_Session_2_Group_1_TS</t>
  </si>
  <si>
    <t>TRIAD_2023_12_19_Seminar_Wue_Session_3_Group_1_TS</t>
  </si>
  <si>
    <t>TRIAD_2024_05_07_Seminar_Wue_Session_2_Group_2_TS</t>
  </si>
  <si>
    <t>TRIAD_2024_05_07_Seminar_Wue_Session_2_Group_4_TS</t>
  </si>
  <si>
    <t>TRIAD_2024_06_14_Seminar_Wue_Session_1_Group_1_TS</t>
  </si>
  <si>
    <t>TRIAD_2024_06_14_Seminar_Wue_Session_2_Group_1_TS</t>
  </si>
  <si>
    <t>TRIAD_2024_06_14_Seminar_Wue_Session_3_Group_1_TS</t>
  </si>
  <si>
    <t>TRIAD_2024_06_14_Seminar_Wue_Session_3_Group_2_TS</t>
  </si>
  <si>
    <t xml:space="preserve">No video - all participant silent. </t>
  </si>
  <si>
    <t xml:space="preserve">Should this still be used as we don't really mind about the voice? However we can't use it when we look at cognition; </t>
  </si>
  <si>
    <t>Valid for Blinks?</t>
  </si>
  <si>
    <t>2024-05-07 13:30:15.000</t>
  </si>
  <si>
    <t>2024-06-14 11:34:05.000</t>
  </si>
  <si>
    <t>2024-06-14 11:43:35.000</t>
  </si>
  <si>
    <t>2024-06-14 15:42:50.000</t>
  </si>
  <si>
    <t>2024-06-14 13:38:20.000</t>
  </si>
  <si>
    <t>2024-06-14 15:36:10.000</t>
  </si>
  <si>
    <t>2024-06-14 15:42:30.000</t>
  </si>
  <si>
    <t>[added more minutes at the end as they are still discussing, even though prob low cog]The data is valid, but they only talk about the tasks a very short time and play a lot with the virtual tablets etc.</t>
  </si>
  <si>
    <t>2024-06-14 15:35:30.000</t>
  </si>
  <si>
    <t>P1</t>
  </si>
  <si>
    <t>P2</t>
  </si>
  <si>
    <t>P3</t>
  </si>
  <si>
    <t>Dyads</t>
  </si>
  <si>
    <t>avg_P1P2</t>
  </si>
  <si>
    <t>avg_P1P3</t>
  </si>
  <si>
    <t>avg_P2P3</t>
  </si>
  <si>
    <t>P1_P2_AVG</t>
  </si>
  <si>
    <t>avg_P123</t>
  </si>
  <si>
    <t>Variable 1</t>
  </si>
  <si>
    <t>Variable 2</t>
  </si>
  <si>
    <t>Mean</t>
  </si>
  <si>
    <t>Variance</t>
  </si>
  <si>
    <t>Observations</t>
  </si>
  <si>
    <t>Hypothesized Mean Difference</t>
  </si>
  <si>
    <t>df</t>
  </si>
  <si>
    <t>t Stat</t>
  </si>
  <si>
    <t>P(T&lt;=t) one-tail</t>
  </si>
  <si>
    <t>t Critical one-tail</t>
  </si>
  <si>
    <t>P(T&lt;=t) two-tail</t>
  </si>
  <si>
    <t>t Critical two-tail</t>
  </si>
  <si>
    <t>t-Test: Two-Sample Assuming Unequal Variances</t>
  </si>
  <si>
    <t>t-Test: Two-Sample Assuming Equal Variances</t>
  </si>
  <si>
    <t>Pooled Variance</t>
  </si>
  <si>
    <t>Triad_rates_per_person</t>
  </si>
  <si>
    <t>Dyad_rates_per_person</t>
  </si>
  <si>
    <t xml:space="preserve">here is for individual's blink rate </t>
  </si>
  <si>
    <t>here is for the average group blink rate</t>
  </si>
  <si>
    <t>r=</t>
  </si>
  <si>
    <t>R^2</t>
  </si>
  <si>
    <t>p=</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</si>
  <si>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</si>
  <si>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</si>
  <si>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</si>
  <si>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</si>
  <si>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</si>
  <si>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</si>
  <si>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</si>
  <si>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</si>
  <si>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</si>
  <si>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</si>
  <si>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</si>
  <si>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</si>
  <si>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</si>
  <si>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</si>
  <si>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</si>
  <si>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</si>
  <si>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</si>
  <si>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</si>
  <si>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</si>
  <si>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95.0%</t>
  </si>
  <si>
    <t>Upper 95.0%</t>
  </si>
  <si>
    <t>X Variable 1</t>
  </si>
  <si>
    <t>Dyad</t>
  </si>
  <si>
    <t>Triad</t>
  </si>
  <si>
    <t>2024 05 07 - triad S1 G2</t>
  </si>
  <si>
    <t>2024 05 07 - triad S1 G4</t>
  </si>
  <si>
    <t>TRIAD_2024_11_04_Seminar_Mun_Session_1_Group_1</t>
  </si>
  <si>
    <t>DYAD_2024_11_04_Seminar_Mun_Session_1_Group_2</t>
  </si>
  <si>
    <t>TRIAD_2024_11_11_Seminar_Mun_Session_1_Group_1</t>
  </si>
  <si>
    <t>TRIAD_2024_11_18_Seminar_Mun_Session_1_Group_1</t>
  </si>
  <si>
    <t>Triads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</si>
</sst>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8000000000000007"/>
      <name val="JetBrains Mono"/>
      <family val="3"/>
    </font>
    <font>
      <i/>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49" fontId="0" fillId="0" borderId="0" xfId="0" applyNumberFormat="1"/>
    <xf numFmtId="0" fontId="2" fillId="0" borderId="0" xfId="0" applyFont="1" applyAlignment="1">
      <alignment vertical="center"/>
    </xf>
    <xf numFmtId="0" fontId="0" fillId="0" borderId="1" xfId="0" applyBorder="1"/>
    <xf numFmtId="0" fontId="3" fillId="0" borderId="2" xfId="0" applyFont="1" applyBorder="1" applyAlignment="1">
      <alignment horizontal="center"/>
    </xf>
    <xf numFmtId="0" fontId="3" fillId="0" borderId="0" xfId="0" applyFont="1"/>
    <xf numFmtId="0" fontId="1" fillId="0" borderId="0" xfId="0" applyFont="1"/>
    <xf numFmtId="0" fontId="2" fillId="2" borderId="0" xfId="0" applyFont="1" applyFill="1" applyAlignment="1">
      <alignment vertical="center"/>
    </xf>
    <xf numFmtId="0" fontId="3" fillId="0" borderId="2" xfId="0" applyFont="1" applyBorder="1" applyAlignment="1">
      <alignment horizontal="centerContinuous"/>
    </xf>
    <xf numFmtId="0" fontId="3" fillId="0" borderId="0" xfId="0" applyFont="1" applyAlignment="1">
      <alignment horizontal="center"/>
    </xf>
    <xf numFmtId="0" fontId="4" fillId="0" borderId="0" xfId="0" applyFont="1"/>
    <xf numFmtId="0" fontId="0" fillId="3" borderId="0" xfId="0" applyFill="1"/>
  </cellXfs>
  <cellStyles count="1">
    <cellStyle name="Normal" xfId="0" builtinId="0"/>
  </cellStyles>
  <dxfs count="14">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Dyads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Corralation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24151771653543308"/>
                  <c:y val="-0.118674980656319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BlinkRateMinute!$E$2:$E$11</c:f>
              <c:numCache>
                <c:formatCode>General</c:formatCode>
                <c:ptCount val="10"/>
                <c:pt idx="0">
                  <c:v>30.938687999999999</c:v>
                </c:pt>
                <c:pt idx="1">
                  <c:v>31.456980000000001</c:v>
                </c:pt>
                <c:pt idx="2">
                  <c:v>34.357607000000002</c:v>
                </c:pt>
                <c:pt idx="3">
                  <c:v>39.090671999999998</c:v>
                </c:pt>
                <c:pt idx="4">
                  <c:v>30.456852999999999</c:v>
                </c:pt>
                <c:pt idx="5">
                  <c:v>38.751725</c:v>
                </c:pt>
                <c:pt idx="6">
                  <c:v>41.354227999999999</c:v>
                </c:pt>
                <c:pt idx="7">
                  <c:v>25.324967000000001</c:v>
                </c:pt>
                <c:pt idx="8">
                  <c:v>24.631449</c:v>
                </c:pt>
                <c:pt idx="9">
                  <c:v>20.296095999999999</c:v>
                </c:pt>
              </c:numCache>
            </c:numRef>
          </c:xVal>
          <c:yVal>
            <c:numRef>
              <c:f>BlinkRateMinute!$D$2:$D$11</c:f>
              <c:numCache>
                <c:formatCode>General</c:formatCode>
                <c:ptCount val="10"/>
                <c:pt idx="0">
                  <c:v>2.4711409999999998</c:v>
                </c:pt>
                <c:pt idx="1">
                  <c:v>32.792991000000001</c:v>
                </c:pt>
                <c:pt idx="2">
                  <c:v>32.033904</c:v>
                </c:pt>
                <c:pt idx="3">
                  <c:v>38.272494999999999</c:v>
                </c:pt>
                <c:pt idx="4">
                  <c:v>17.652170000000002</c:v>
                </c:pt>
                <c:pt idx="5">
                  <c:v>13.541086</c:v>
                </c:pt>
                <c:pt idx="6">
                  <c:v>22.615593000000001</c:v>
                </c:pt>
                <c:pt idx="7">
                  <c:v>60.294035000000001</c:v>
                </c:pt>
                <c:pt idx="8">
                  <c:v>5.3683930000000002</c:v>
                </c:pt>
                <c:pt idx="9">
                  <c:v>27.407136999999999</c:v>
                </c:pt>
              </c:numCache>
            </c:numRef>
          </c:yVal>
          <c:smooth val="0"/>
          <c:extLst>
            <c:ext xmlns:c16="http://schemas.microsoft.com/office/drawing/2014/chart" uri="{C3380CC4-5D6E-409C-BE32-E72D297353CC}">
              <c16:uniqueId val="{00000000-28BF-4713-B605-5BD6560A6274}"/>
            </c:ext>
          </c:extLst>
        </c:ser>
        <c:dLbls>
          <c:showLegendKey val="0"/>
          <c:showVal val="0"/>
          <c:showCatName val="0"/>
          <c:showSerName val="0"/>
          <c:showPercent val="0"/>
          <c:showBubbleSize val="0"/>
        </c:dLbls>
        <c:axId val="1644294783"/>
        <c:axId val="1644301983"/>
      </c:scatterChart>
      <c:valAx>
        <c:axId val="164429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1983"/>
        <c:crosses val="autoZero"/>
        <c:crossBetween val="midCat"/>
      </c:valAx>
      <c:valAx>
        <c:axId val="16443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947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BlinkRateMinute!$K$1</c:f>
              <c:strCache>
                <c:ptCount val="1"/>
                <c:pt idx="0">
                  <c:v>P2</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BlinkRateMinute!$J$2:$J$10</c:f>
              <c:numCache>
                <c:formatCode>General</c:formatCode>
                <c:ptCount val="9"/>
                <c:pt idx="0">
                  <c:v>13.27946</c:v>
                </c:pt>
                <c:pt idx="1">
                  <c:v>18.098331000000002</c:v>
                </c:pt>
                <c:pt idx="2">
                  <c:v>2.2134100000000001</c:v>
                </c:pt>
                <c:pt idx="3">
                  <c:v>24.187462</c:v>
                </c:pt>
                <c:pt idx="4">
                  <c:v>13.098208</c:v>
                </c:pt>
                <c:pt idx="5">
                  <c:v>9.9307610000000004</c:v>
                </c:pt>
                <c:pt idx="6">
                  <c:v>18.789473999999998</c:v>
                </c:pt>
                <c:pt idx="7">
                  <c:v>13.606121</c:v>
                </c:pt>
                <c:pt idx="8">
                  <c:v>31.080375</c:v>
                </c:pt>
              </c:numCache>
            </c:numRef>
          </c:xVal>
          <c:yVal>
            <c:numRef>
              <c:f>BlinkRateMinute!$K$2:$K$10</c:f>
              <c:numCache>
                <c:formatCode>General</c:formatCode>
                <c:ptCount val="9"/>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numCache>
            </c:numRef>
          </c:yVal>
          <c:smooth val="0"/>
          <c:extLst>
            <c:ext xmlns:c16="http://schemas.microsoft.com/office/drawing/2014/chart" uri="{C3380CC4-5D6E-409C-BE32-E72D297353CC}">
              <c16:uniqueId val="{00000000-64BC-4D09-8ED7-874235FD19D4}"/>
            </c:ext>
          </c:extLst>
        </c:ser>
        <c:dLbls>
          <c:showLegendKey val="0"/>
          <c:showVal val="0"/>
          <c:showCatName val="0"/>
          <c:showSerName val="0"/>
          <c:showPercent val="0"/>
          <c:showBubbleSize val="0"/>
        </c:dLbls>
        <c:axId val="1655692223"/>
        <c:axId val="1655694143"/>
        <c:extLst>
          <c:ext xmlns:c15="http://schemas.microsoft.com/office/drawing/2012/chart" uri="{02D57815-91ED-43cb-92C2-25804820EDAC}">
            <c15:filteredScatterSeries>
              <c15:ser>
                <c:idx val="1"/>
                <c:order val="1"/>
                <c:tx>
                  <c:strRef>
                    <c:extLst>
                      <c:ext uri="{02D57815-91ED-43cb-92C2-25804820EDAC}">
                        <c15:formulaRef>
                          <c15:sqref>BlinkRateMinute!$L$1</c15:sqref>
                        </c15:formulaRef>
                      </c:ext>
                    </c:extLst>
                    <c:strCache>
                      <c:ptCount val="1"/>
                      <c:pt idx="0">
                        <c:v>P3</c:v>
                      </c:pt>
                    </c:strCache>
                  </c:strRef>
                </c:tx>
                <c:spPr>
                  <a:ln w="1905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BlinkRateMinute!$J$2:$J$10</c15:sqref>
                        </c15:formulaRef>
                      </c:ext>
                    </c:extLst>
                    <c:numCache>
                      <c:formatCode>General</c:formatCode>
                      <c:ptCount val="9"/>
                      <c:pt idx="0">
                        <c:v>13.27946</c:v>
                      </c:pt>
                      <c:pt idx="1">
                        <c:v>18.098331000000002</c:v>
                      </c:pt>
                      <c:pt idx="2">
                        <c:v>2.2134100000000001</c:v>
                      </c:pt>
                      <c:pt idx="3">
                        <c:v>24.187462</c:v>
                      </c:pt>
                      <c:pt idx="4">
                        <c:v>13.098208</c:v>
                      </c:pt>
                      <c:pt idx="5">
                        <c:v>9.9307610000000004</c:v>
                      </c:pt>
                      <c:pt idx="6">
                        <c:v>18.789473999999998</c:v>
                      </c:pt>
                      <c:pt idx="7">
                        <c:v>13.606121</c:v>
                      </c:pt>
                      <c:pt idx="8">
                        <c:v>31.080375</c:v>
                      </c:pt>
                    </c:numCache>
                  </c:numRef>
                </c:xVal>
                <c:yVal>
                  <c:numRef>
                    <c:extLst>
                      <c:ext uri="{02D57815-91ED-43cb-92C2-25804820EDAC}">
                        <c15:formulaRef>
                          <c15:sqref>BlinkRateMinute!$L$2:$L$10</c15:sqref>
                        </c15:formulaRef>
                      </c:ext>
                    </c:extLst>
                    <c:numCache>
                      <c:formatCode>General</c:formatCode>
                      <c:ptCount val="9"/>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numCache>
                  </c:numRef>
                </c:yVal>
                <c:smooth val="0"/>
                <c:extLst>
                  <c:ext xmlns:c16="http://schemas.microsoft.com/office/drawing/2014/chart" uri="{C3380CC4-5D6E-409C-BE32-E72D297353CC}">
                    <c16:uniqueId val="{00000001-64BC-4D09-8ED7-874235FD19D4}"/>
                  </c:ext>
                </c:extLst>
              </c15:ser>
            </c15:filteredScatterSeries>
          </c:ext>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BlinkRateMinute!$L$1</c:f>
              <c:strCache>
                <c:ptCount val="1"/>
                <c:pt idx="0">
                  <c:v>P3</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BlinkRateMinute!$J$2:$J$10</c:f>
              <c:numCache>
                <c:formatCode>General</c:formatCode>
                <c:ptCount val="9"/>
                <c:pt idx="0">
                  <c:v>13.27946</c:v>
                </c:pt>
                <c:pt idx="1">
                  <c:v>18.098331000000002</c:v>
                </c:pt>
                <c:pt idx="2">
                  <c:v>2.2134100000000001</c:v>
                </c:pt>
                <c:pt idx="3">
                  <c:v>24.187462</c:v>
                </c:pt>
                <c:pt idx="4">
                  <c:v>13.098208</c:v>
                </c:pt>
                <c:pt idx="5">
                  <c:v>9.9307610000000004</c:v>
                </c:pt>
                <c:pt idx="6">
                  <c:v>18.789473999999998</c:v>
                </c:pt>
                <c:pt idx="7">
                  <c:v>13.606121</c:v>
                </c:pt>
                <c:pt idx="8">
                  <c:v>31.080375</c:v>
                </c:pt>
              </c:numCache>
            </c:numRef>
          </c:xVal>
          <c:yVal>
            <c:numRef>
              <c:f>BlinkRateMinute!$L$2:$L$10</c:f>
              <c:numCache>
                <c:formatCode>General</c:formatCode>
                <c:ptCount val="9"/>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numCache>
            </c:numRef>
          </c:yVal>
          <c:smooth val="0"/>
          <c:extLst>
            <c:ext xmlns:c16="http://schemas.microsoft.com/office/drawing/2014/chart" uri="{C3380CC4-5D6E-409C-BE32-E72D297353CC}">
              <c16:uniqueId val="{00000001-A228-4095-975E-4D2434418319}"/>
            </c:ext>
          </c:extLst>
        </c:ser>
        <c:dLbls>
          <c:showLegendKey val="0"/>
          <c:showVal val="0"/>
          <c:showCatName val="0"/>
          <c:showSerName val="0"/>
          <c:showPercent val="0"/>
          <c:showBubbleSize val="0"/>
        </c:dLbls>
        <c:axId val="1655692223"/>
        <c:axId val="1655694143"/>
        <c:extLst>
          <c:ext xmlns:c15="http://schemas.microsoft.com/office/drawing/2012/chart" uri="{02D57815-91ED-43cb-92C2-25804820EDAC}">
            <c15:filteredScatterSeries>
              <c15:ser>
                <c:idx val="0"/>
                <c:order val="0"/>
                <c:tx>
                  <c:strRef>
                    <c:extLst>
                      <c:ext uri="{02D57815-91ED-43cb-92C2-25804820EDAC}">
                        <c15:formulaRef>
                          <c15:sqref>BlinkRateMinute!$K$1</c15:sqref>
                        </c15:formulaRef>
                      </c:ext>
                    </c:extLst>
                    <c:strCache>
                      <c:ptCount val="1"/>
                      <c:pt idx="0">
                        <c:v>P2</c:v>
                      </c:pt>
                    </c:strCache>
                  </c:strRef>
                </c:tx>
                <c:spPr>
                  <a:ln w="1905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BlinkRateMinute!$J$2:$J$10</c15:sqref>
                        </c15:formulaRef>
                      </c:ext>
                    </c:extLst>
                    <c:numCache>
                      <c:formatCode>General</c:formatCode>
                      <c:ptCount val="9"/>
                      <c:pt idx="0">
                        <c:v>13.27946</c:v>
                      </c:pt>
                      <c:pt idx="1">
                        <c:v>18.098331000000002</c:v>
                      </c:pt>
                      <c:pt idx="2">
                        <c:v>2.2134100000000001</c:v>
                      </c:pt>
                      <c:pt idx="3">
                        <c:v>24.187462</c:v>
                      </c:pt>
                      <c:pt idx="4">
                        <c:v>13.098208</c:v>
                      </c:pt>
                      <c:pt idx="5">
                        <c:v>9.9307610000000004</c:v>
                      </c:pt>
                      <c:pt idx="6">
                        <c:v>18.789473999999998</c:v>
                      </c:pt>
                      <c:pt idx="7">
                        <c:v>13.606121</c:v>
                      </c:pt>
                      <c:pt idx="8">
                        <c:v>31.080375</c:v>
                      </c:pt>
                    </c:numCache>
                  </c:numRef>
                </c:xVal>
                <c:yVal>
                  <c:numRef>
                    <c:extLst>
                      <c:ext uri="{02D57815-91ED-43cb-92C2-25804820EDAC}">
                        <c15:formulaRef>
                          <c15:sqref>BlinkRateMinute!$K$2:$K$10</c15:sqref>
                        </c15:formulaRef>
                      </c:ext>
                    </c:extLst>
                    <c:numCache>
                      <c:formatCode>General</c:formatCode>
                      <c:ptCount val="9"/>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numCache>
                  </c:numRef>
                </c:yVal>
                <c:smooth val="0"/>
                <c:extLst>
                  <c:ext xmlns:c16="http://schemas.microsoft.com/office/drawing/2014/chart" uri="{C3380CC4-5D6E-409C-BE32-E72D297353CC}">
                    <c16:uniqueId val="{00000000-A228-4095-975E-4D2434418319}"/>
                  </c:ext>
                </c:extLst>
              </c15:ser>
            </c15:filteredScatterSeries>
          </c:ext>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P2-P3</c:v>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BlinkRateMinute!$K$2:$K$10</c:f>
              <c:numCache>
                <c:formatCode>General</c:formatCode>
                <c:ptCount val="9"/>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numCache>
            </c:numRef>
          </c:xVal>
          <c:yVal>
            <c:numRef>
              <c:f>BlinkRateMinute!$L$2:$L$10</c:f>
              <c:numCache>
                <c:formatCode>General</c:formatCode>
                <c:ptCount val="9"/>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numCache>
            </c:numRef>
          </c:yVal>
          <c:smooth val="0"/>
          <c:extLst>
            <c:ext xmlns:c16="http://schemas.microsoft.com/office/drawing/2014/chart" uri="{C3380CC4-5D6E-409C-BE32-E72D297353CC}">
              <c16:uniqueId val="{00000002-F61B-4B29-8336-DFC9C7F6DA08}"/>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 avgP2P3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P1-avgP2P3</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BlinkRateMinute!$J$2:$J$10</c:f>
              <c:numCache>
                <c:formatCode>General</c:formatCode>
                <c:ptCount val="9"/>
                <c:pt idx="0">
                  <c:v>13.27946</c:v>
                </c:pt>
                <c:pt idx="1">
                  <c:v>18.098331000000002</c:v>
                </c:pt>
                <c:pt idx="2">
                  <c:v>2.2134100000000001</c:v>
                </c:pt>
                <c:pt idx="3">
                  <c:v>24.187462</c:v>
                </c:pt>
                <c:pt idx="4">
                  <c:v>13.098208</c:v>
                </c:pt>
                <c:pt idx="5">
                  <c:v>9.9307610000000004</c:v>
                </c:pt>
                <c:pt idx="6">
                  <c:v>18.789473999999998</c:v>
                </c:pt>
                <c:pt idx="7">
                  <c:v>13.606121</c:v>
                </c:pt>
                <c:pt idx="8">
                  <c:v>31.080375</c:v>
                </c:pt>
              </c:numCache>
            </c:numRef>
          </c:xVal>
          <c:yVal>
            <c:numRef>
              <c:f>BlinkRateMinute!$O$2:$O$10</c:f>
              <c:numCache>
                <c:formatCode>General</c:formatCode>
                <c:ptCount val="9"/>
                <c:pt idx="0">
                  <c:v>31.417258499999999</c:v>
                </c:pt>
                <c:pt idx="1">
                  <c:v>22.229472000000001</c:v>
                </c:pt>
                <c:pt idx="2">
                  <c:v>17.035349</c:v>
                </c:pt>
                <c:pt idx="3">
                  <c:v>32.953073500000002</c:v>
                </c:pt>
                <c:pt idx="4">
                  <c:v>16.420914499999999</c:v>
                </c:pt>
                <c:pt idx="5">
                  <c:v>8.344597499999999</c:v>
                </c:pt>
                <c:pt idx="6">
                  <c:v>10.815789499999999</c:v>
                </c:pt>
                <c:pt idx="7">
                  <c:v>30.613771999999997</c:v>
                </c:pt>
                <c:pt idx="8">
                  <c:v>14.0127335</c:v>
                </c:pt>
              </c:numCache>
            </c:numRef>
          </c:yVal>
          <c:smooth val="0"/>
          <c:extLst>
            <c:ext xmlns:c16="http://schemas.microsoft.com/office/drawing/2014/chart" uri="{C3380CC4-5D6E-409C-BE32-E72D297353CC}">
              <c16:uniqueId val="{00000002-7DB6-460F-B9FA-0729AA763D78}"/>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 avgP1P3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P2-avgP1P3</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BlinkRateMinute!$K$2:$K$10</c:f>
              <c:numCache>
                <c:formatCode>General</c:formatCode>
                <c:ptCount val="9"/>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numCache>
            </c:numRef>
          </c:xVal>
          <c:yVal>
            <c:numRef>
              <c:f>BlinkRateMinute!$N$2:$N$10</c:f>
              <c:numCache>
                <c:formatCode>General</c:formatCode>
                <c:ptCount val="9"/>
                <c:pt idx="0">
                  <c:v>24.6965565</c:v>
                </c:pt>
                <c:pt idx="1">
                  <c:v>16.377022500000002</c:v>
                </c:pt>
                <c:pt idx="2">
                  <c:v>12.410904</c:v>
                </c:pt>
                <c:pt idx="3">
                  <c:v>41.156185499999999</c:v>
                </c:pt>
                <c:pt idx="4">
                  <c:v>18.539742499999999</c:v>
                </c:pt>
                <c:pt idx="5">
                  <c:v>8.2066704999999995</c:v>
                </c:pt>
                <c:pt idx="6">
                  <c:v>13.1052635</c:v>
                </c:pt>
                <c:pt idx="7">
                  <c:v>23.946773</c:v>
                </c:pt>
                <c:pt idx="8">
                  <c:v>24.5056805</c:v>
                </c:pt>
              </c:numCache>
            </c:numRef>
          </c:yVal>
          <c:smooth val="0"/>
          <c:extLst>
            <c:ext xmlns:c16="http://schemas.microsoft.com/office/drawing/2014/chart" uri="{C3380CC4-5D6E-409C-BE32-E72D297353CC}">
              <c16:uniqueId val="{00000002-5D21-4E25-85A9-BE28F5AF8996}"/>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P3- avgP1P2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P3-avgP1P2</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BlinkRateMinute!$L$2:$L$10</c:f>
              <c:numCache>
                <c:formatCode>General</c:formatCode>
                <c:ptCount val="9"/>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numCache>
            </c:numRef>
          </c:xVal>
          <c:yVal>
            <c:numRef>
              <c:f>BlinkRateMinute!$M$2:$M$10</c:f>
              <c:numCache>
                <c:formatCode>General</c:formatCode>
                <c:ptCount val="9"/>
                <c:pt idx="0">
                  <c:v>20.000162</c:v>
                </c:pt>
                <c:pt idx="1">
                  <c:v>23.9507805</c:v>
                </c:pt>
                <c:pt idx="2">
                  <c:v>6.8378550000000002</c:v>
                </c:pt>
                <c:pt idx="3">
                  <c:v>15.984349999999999</c:v>
                </c:pt>
                <c:pt idx="4">
                  <c:v>10.979379999999999</c:v>
                </c:pt>
                <c:pt idx="5">
                  <c:v>10.068688</c:v>
                </c:pt>
                <c:pt idx="6">
                  <c:v>16.5</c:v>
                </c:pt>
                <c:pt idx="7">
                  <c:v>20.273119999999999</c:v>
                </c:pt>
                <c:pt idx="8">
                  <c:v>20.587427999999999</c:v>
                </c:pt>
              </c:numCache>
            </c:numRef>
          </c:yVal>
          <c:smooth val="0"/>
          <c:extLst>
            <c:ext xmlns:c16="http://schemas.microsoft.com/office/drawing/2014/chart" uri="{C3380CC4-5D6E-409C-BE32-E72D297353CC}">
              <c16:uniqueId val="{00000002-5E3C-4EFA-957E-8A2ADA8A208C}"/>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Dyads Blink Rate per</a:t>
            </a:r>
            <a:r>
              <a:rPr lang="en-GB" baseline="0"/>
              <a:t> Minute (BPM)</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3.6110017497812771E-2"/>
                  <c:y val="-7.8691147588244831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r=0.036</a:t>
                    </a:r>
                    <a:r>
                      <a:rPr lang="en-US" baseline="0"/>
                      <a:t>  p=.28</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BlinkRateMinute!$D$62:$D$71</c:f>
              <c:numCache>
                <c:formatCode>General</c:formatCode>
                <c:ptCount val="10"/>
                <c:pt idx="0">
                  <c:v>2.4711409999999998</c:v>
                </c:pt>
                <c:pt idx="1">
                  <c:v>32.033904</c:v>
                </c:pt>
                <c:pt idx="2">
                  <c:v>31.456980000000001</c:v>
                </c:pt>
                <c:pt idx="3">
                  <c:v>38.272494999999999</c:v>
                </c:pt>
                <c:pt idx="4">
                  <c:v>17.652170000000002</c:v>
                </c:pt>
                <c:pt idx="5">
                  <c:v>13.541086</c:v>
                </c:pt>
                <c:pt idx="6">
                  <c:v>22.615593000000001</c:v>
                </c:pt>
                <c:pt idx="7">
                  <c:v>25.324967000000001</c:v>
                </c:pt>
                <c:pt idx="8">
                  <c:v>5.3683930000000002</c:v>
                </c:pt>
                <c:pt idx="9">
                  <c:v>20.296095999999999</c:v>
                </c:pt>
              </c:numCache>
            </c:numRef>
          </c:xVal>
          <c:yVal>
            <c:numRef>
              <c:f>BlinkRateMinute!$E$62:$E$71</c:f>
              <c:numCache>
                <c:formatCode>General</c:formatCode>
                <c:ptCount val="10"/>
                <c:pt idx="0">
                  <c:v>30.938687999999999</c:v>
                </c:pt>
                <c:pt idx="1">
                  <c:v>34.357607000000002</c:v>
                </c:pt>
                <c:pt idx="2">
                  <c:v>32.792991000000001</c:v>
                </c:pt>
                <c:pt idx="3">
                  <c:v>39.090671999999998</c:v>
                </c:pt>
                <c:pt idx="4">
                  <c:v>30.456852999999999</c:v>
                </c:pt>
                <c:pt idx="5">
                  <c:v>38.751725</c:v>
                </c:pt>
                <c:pt idx="6">
                  <c:v>41.354227999999999</c:v>
                </c:pt>
                <c:pt idx="7">
                  <c:v>60.294035000000001</c:v>
                </c:pt>
                <c:pt idx="8">
                  <c:v>24.631449</c:v>
                </c:pt>
                <c:pt idx="9">
                  <c:v>27.407136999999999</c:v>
                </c:pt>
              </c:numCache>
            </c:numRef>
          </c:yVal>
          <c:smooth val="0"/>
          <c:extLst>
            <c:ext xmlns:c16="http://schemas.microsoft.com/office/drawing/2014/chart" uri="{C3380CC4-5D6E-409C-BE32-E72D297353CC}">
              <c16:uniqueId val="{00000000-E81F-45FC-BFDC-9F3AF0745BC7}"/>
            </c:ext>
          </c:extLst>
        </c:ser>
        <c:dLbls>
          <c:showLegendKey val="0"/>
          <c:showVal val="0"/>
          <c:showCatName val="0"/>
          <c:showSerName val="0"/>
          <c:showPercent val="0"/>
          <c:showBubbleSize val="0"/>
        </c:dLbls>
        <c:axId val="646802688"/>
        <c:axId val="646797408"/>
      </c:scatterChart>
      <c:valAx>
        <c:axId val="646802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BPM Participant 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7408"/>
        <c:crosses val="autoZero"/>
        <c:crossBetween val="midCat"/>
      </c:valAx>
      <c:valAx>
        <c:axId val="64679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BPM Participant 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02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txData>
          <cx:v>Dyads vs Triads on BPM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Dyads vs Triads on BPM</a:t>
          </a:r>
        </a:p>
      </cx:txPr>
    </cx:title>
    <cx:plotArea>
      <cx:plotAreaRegion>
        <cx:series layoutId="boxWhisker" uniqueId="{4DFF839D-C16C-4082-A573-2E00517ECB81}">
          <cx:tx>
            <cx:txData>
              <cx:v>Dyads BPM</cx:v>
            </cx:txData>
          </cx:tx>
          <cx:spPr>
            <a:noFill/>
          </cx:spPr>
          <cx:dataId val="0"/>
          <cx:layoutPr>
            <cx:visibility meanLine="1" meanMarker="1" nonoutliers="1" outliers="0"/>
            <cx:statistics quartileMethod="exclusive"/>
          </cx:layoutPr>
        </cx:series>
        <cx:series layoutId="boxWhisker" uniqueId="{00000001-722A-435E-990A-4B385DA554D8}">
          <cx:tx>
            <cx:txData>
              <cx:v>Triads BPM</cx:v>
            </cx:txData>
          </cx:tx>
          <cx:spPr>
            <a:noFill/>
          </cx:spPr>
          <cx:dataId val="1"/>
          <cx:layoutPr>
            <cx:visibility meanLine="1" outliers="0"/>
            <cx:statistics quartileMethod="exclusive"/>
          </cx:layoutPr>
        </cx:series>
      </cx:plotAreaRegion>
      <cx:axis id="0" hidden="1">
        <cx:catScaling gapWidth="1"/>
        <cx:tickLabels/>
      </cx:axis>
      <cx:axis id="1">
        <cx:valScaling/>
        <cx:title>
          <cx:tx>
            <cx:txData>
              <cx:v>Blink Rate per Minute (BPM)</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Blink Rate per Minute (BPM)</a:t>
              </a:r>
            </a:p>
          </cx:txPr>
        </cx:title>
        <cx:majorGridlines/>
        <cx:tickLabels/>
      </cx:axis>
    </cx:plotArea>
    <cx:legend pos="r" align="min"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_xlchart.v1.5</cx:f>
      </cx:numDim>
    </cx:data>
  </cx:chartData>
  <cx:chart>
    <cx:title pos="t" align="ctr" overlay="0">
      <cx:tx>
        <cx:txData>
          <cx:v>Synced Blink % on Dyads vs Triads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Synced Blink % on Dyads vs Triads</a:t>
          </a:r>
        </a:p>
      </cx:txPr>
    </cx:title>
    <cx:plotArea>
      <cx:plotAreaRegion>
        <cx:series layoutId="boxWhisker" uniqueId="{5F5FEFE0-8F79-4C9C-BDD4-A3321F378915}">
          <cx:tx>
            <cx:txData>
              <cx:f>_xlchart.v1.2</cx:f>
              <cx:v>Dyad</cx:v>
            </cx:txData>
          </cx:tx>
          <cx:spPr>
            <a:noFill/>
          </cx:spPr>
          <cx:dataId val="0"/>
          <cx:layoutPr>
            <cx:visibility meanLine="1" meanMarker="1" nonoutliers="1" outliers="1"/>
            <cx:statistics quartileMethod="exclusive"/>
          </cx:layoutPr>
        </cx:series>
        <cx:series layoutId="boxWhisker" uniqueId="{3BB713B9-C79C-4E48-A5E2-750F24D24DB1}">
          <cx:tx>
            <cx:txData>
              <cx:f>_xlchart.v1.4</cx:f>
              <cx:v>Triad</cx:v>
            </cx:txData>
          </cx:tx>
          <cx:spPr>
            <a:noFill/>
          </cx:spPr>
          <cx:dataId val="1"/>
          <cx:layoutPr>
            <cx:visibility meanLine="0" meanMarker="1" nonoutliers="1" outliers="1"/>
            <cx:statistics quartileMethod="exclusive"/>
          </cx:layoutPr>
        </cx:series>
      </cx:plotAreaRegion>
      <cx:axis id="0" hidden="1">
        <cx:catScaling gapWidth="1"/>
        <cx:tickLabels/>
      </cx:axis>
      <cx:axis id="1">
        <cx:valScaling/>
        <cx:title>
          <cx:tx>
            <cx:txData>
              <cx:v>Synchronised Blinks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Synchronised Blinks (%)</a:t>
              </a:r>
            </a:p>
          </cx:txPr>
        </cx:title>
        <cx:majorGridlines/>
        <cx:tickLabels/>
      </cx:axis>
    </cx:plotArea>
    <cx:legend pos="r" align="min" overlay="1"/>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chartData>
  <cx:chart>
    <cx:title pos="t" align="ctr" overlay="0">
      <cx:tx>
        <cx:txData>
          <cx:v>The mean blink asynchrony (ms) between the onset time of blinks of partners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The mean blink asynchrony (ms) between the onset time of blinks of partners</a:t>
          </a:r>
        </a:p>
      </cx:txPr>
    </cx:title>
    <cx:plotArea>
      <cx:plotAreaRegion>
        <cx:series layoutId="boxWhisker" uniqueId="{A5B4DEED-1E68-4B6B-87B2-059879358505}">
          <cx:tx>
            <cx:txData>
              <cx:f>_xlchart.v1.6</cx:f>
              <cx:v>Dyads</cx:v>
            </cx:txData>
          </cx:tx>
          <cx:spPr>
            <a:noFill/>
          </cx:spPr>
          <cx:dataId val="0"/>
          <cx:layoutPr>
            <cx:visibility meanLine="1" meanMarker="1" nonoutliers="1" outliers="1"/>
            <cx:statistics quartileMethod="exclusive"/>
          </cx:layoutPr>
        </cx:series>
        <cx:series layoutId="boxWhisker" uniqueId="{BE8BCE1F-0F62-4B06-9656-6717B23429AD}">
          <cx:tx>
            <cx:txData>
              <cx:f>_xlchart.v1.8</cx:f>
              <cx:v>Triads</cx:v>
            </cx:txData>
          </cx:tx>
          <cx:spPr>
            <a:noFill/>
          </cx:spPr>
          <cx:dataId val="1"/>
          <cx:layoutPr>
            <cx:visibility meanLine="1" meanMarker="1" nonoutliers="1" outliers="1"/>
            <cx:statistics quartileMethod="exclusive"/>
          </cx:layoutPr>
        </cx:series>
      </cx:plotAreaRegion>
      <cx:axis id="0" hidden="1">
        <cx:catScaling gapWidth="1"/>
        <cx:tickLabels/>
      </cx:axis>
      <cx:axis id="1">
        <cx:valScaling/>
        <cx:title>
          <cx:tx>
            <cx:txData>
              <cx:v>Miliseconds (ms)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Miliseconds (ms)</a:t>
              </a:r>
            </a:p>
          </cx:txPr>
        </cx:title>
        <cx:majorGridlines/>
        <cx:tickLabels/>
      </cx:axis>
    </cx:plotArea>
    <cx:legend pos="r" align="min" overlay="1"/>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200025</xdr:colOff>
      <xdr:row>21</xdr:row>
      <xdr:rowOff>169862</xdr:rowOff>
    </xdr:from>
    <xdr:to>
      <xdr:col>4</xdr:col>
      <xdr:colOff>168275</xdr:colOff>
      <xdr:row>37</xdr:row>
      <xdr:rowOff>20637</xdr:rowOff>
    </xdr:to>
    <xdr:graphicFrame macro="">
      <xdr:nvGraphicFramePr>
        <xdr:cNvPr id="2" name="Chart 1">
          <a:extLst>
            <a:ext uri="{FF2B5EF4-FFF2-40B4-BE49-F238E27FC236}">
              <a16:creationId xmlns:a16="http://schemas.microsoft.com/office/drawing/2014/main" id="{B231C0B7-36EC-686F-EBF6-BE5C381DF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430212</xdr:colOff>
      <xdr:row>12</xdr:row>
      <xdr:rowOff>87312</xdr:rowOff>
    </xdr:from>
    <xdr:to>
      <xdr:col>8</xdr:col>
      <xdr:colOff>3779837</xdr:colOff>
      <xdr:row>27</xdr:row>
      <xdr:rowOff>112712</xdr:rowOff>
    </xdr:to>
    <xdr:graphicFrame macro="">
      <xdr:nvGraphicFramePr>
        <xdr:cNvPr id="3" name="Chart 2">
          <a:extLst>
            <a:ext uri="{FF2B5EF4-FFF2-40B4-BE49-F238E27FC236}">
              <a16:creationId xmlns:a16="http://schemas.microsoft.com/office/drawing/2014/main" id="{F7F5EAF5-BE98-43AE-949B-F9660BD71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444500</xdr:colOff>
      <xdr:row>29</xdr:row>
      <xdr:rowOff>133350</xdr:rowOff>
    </xdr:from>
    <xdr:to>
      <xdr:col>8</xdr:col>
      <xdr:colOff>3806825</xdr:colOff>
      <xdr:row>44</xdr:row>
      <xdr:rowOff>161925</xdr:rowOff>
    </xdr:to>
    <xdr:graphicFrame macro="">
      <xdr:nvGraphicFramePr>
        <xdr:cNvPr id="4" name="Chart 3">
          <a:extLst>
            <a:ext uri="{FF2B5EF4-FFF2-40B4-BE49-F238E27FC236}">
              <a16:creationId xmlns:a16="http://schemas.microsoft.com/office/drawing/2014/main" id="{0D182253-9DF5-4875-94F3-F45AE13C7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387350</xdr:colOff>
      <xdr:row>12</xdr:row>
      <xdr:rowOff>63499</xdr:rowOff>
    </xdr:from>
    <xdr:to>
      <xdr:col>14</xdr:col>
      <xdr:colOff>95250</xdr:colOff>
      <xdr:row>27</xdr:row>
      <xdr:rowOff>95249</xdr:rowOff>
    </xdr:to>
    <xdr:graphicFrame macro="">
      <xdr:nvGraphicFramePr>
        <xdr:cNvPr id="5" name="Chart 4">
          <a:extLst>
            <a:ext uri="{FF2B5EF4-FFF2-40B4-BE49-F238E27FC236}">
              <a16:creationId xmlns:a16="http://schemas.microsoft.com/office/drawing/2014/main" id="{2394249E-DF46-4D6A-88B7-7B849F479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361950</xdr:colOff>
      <xdr:row>0</xdr:row>
      <xdr:rowOff>101599</xdr:rowOff>
    </xdr:from>
    <xdr:to>
      <xdr:col>22</xdr:col>
      <xdr:colOff>466725</xdr:colOff>
      <xdr:row>18</xdr:row>
      <xdr:rowOff>47624</xdr:rowOff>
    </xdr:to>
    <xdr:graphicFrame macro="">
      <xdr:nvGraphicFramePr>
        <xdr:cNvPr id="6" name="Chart 5">
          <a:extLst>
            <a:ext uri="{FF2B5EF4-FFF2-40B4-BE49-F238E27FC236}">
              <a16:creationId xmlns:a16="http://schemas.microsoft.com/office/drawing/2014/main" id="{509A7529-8086-4423-A086-45C63D0F1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552450</xdr:colOff>
      <xdr:row>0</xdr:row>
      <xdr:rowOff>133350</xdr:rowOff>
    </xdr:from>
    <xdr:to>
      <xdr:col>30</xdr:col>
      <xdr:colOff>47625</xdr:colOff>
      <xdr:row>18</xdr:row>
      <xdr:rowOff>76200</xdr:rowOff>
    </xdr:to>
    <xdr:graphicFrame macro="">
      <xdr:nvGraphicFramePr>
        <xdr:cNvPr id="7" name="Chart 6">
          <a:extLst>
            <a:ext uri="{FF2B5EF4-FFF2-40B4-BE49-F238E27FC236}">
              <a16:creationId xmlns:a16="http://schemas.microsoft.com/office/drawing/2014/main" id="{CBC704CD-0D36-4DBD-9612-517D09860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254000</xdr:colOff>
      <xdr:row>20</xdr:row>
      <xdr:rowOff>63500</xdr:rowOff>
    </xdr:from>
    <xdr:to>
      <xdr:col>22</xdr:col>
      <xdr:colOff>361950</xdr:colOff>
      <xdr:row>38</xdr:row>
      <xdr:rowOff>9525</xdr:rowOff>
    </xdr:to>
    <xdr:graphicFrame macro="">
      <xdr:nvGraphicFramePr>
        <xdr:cNvPr id="8" name="Chart 7">
          <a:extLst>
            <a:ext uri="{FF2B5EF4-FFF2-40B4-BE49-F238E27FC236}">
              <a16:creationId xmlns:a16="http://schemas.microsoft.com/office/drawing/2014/main" id="{990FB946-19B3-4389-8BA5-D175649ED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120650</xdr:colOff>
      <xdr:row>50</xdr:row>
      <xdr:rowOff>17462</xdr:rowOff>
    </xdr:from>
    <xdr:to>
      <xdr:col>8</xdr:col>
      <xdr:colOff>3473450</xdr:colOff>
      <xdr:row>65</xdr:row>
      <xdr:rowOff>11112</xdr:rowOff>
    </xdr:to>
    <xdr:graphicFrame macro="">
      <xdr:nvGraphicFramePr>
        <xdr:cNvPr id="10" name="Chart 9">
          <a:extLst>
            <a:ext uri="{FF2B5EF4-FFF2-40B4-BE49-F238E27FC236}">
              <a16:creationId xmlns:a16="http://schemas.microsoft.com/office/drawing/2014/main" id="{FC691196-2414-F25A-6BDA-6F72D754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164354</xdr:colOff>
      <xdr:row>62</xdr:row>
      <xdr:rowOff>32871</xdr:rowOff>
    </xdr:from>
    <xdr:to>
      <xdr:col>15</xdr:col>
      <xdr:colOff>328706</xdr:colOff>
      <xdr:row>76</xdr:row>
      <xdr:rowOff>153894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8F7F133-3464-1E1E-94CD-EEDE7FAACF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819530" y="11679518"/>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250657</xdr:colOff>
      <xdr:row>74</xdr:row>
      <xdr:rowOff>122676</xdr:rowOff>
    </xdr:from>
    <xdr:to>
      <xdr:col>13</xdr:col>
      <xdr:colOff>391613</xdr:colOff>
      <xdr:row>75</xdr:row>
      <xdr:rowOff>43446</xdr:rowOff>
    </xdr:to>
    <xdr:sp macro="" textlink="">
      <xdr:nvSpPr>
        <xdr:cNvPr id="11" name="Right Bracket 10">
          <a:extLst>
            <a:ext uri="{FF2B5EF4-FFF2-40B4-BE49-F238E27FC236}">
              <a16:creationId xmlns:a16="http://schemas.microsoft.com/office/drawing/2014/main" id="{2D671B8F-F4F1-0352-0E3F-675216A0B0D0}"/>
            </a:ext>
          </a:extLst>
        </xdr:cNvPr>
        <xdr:cNvSpPr/>
      </xdr:nvSpPr>
      <xdr:spPr>
        <a:xfrm rot="5400000">
          <a:off x="15171290" y="13319175"/>
          <a:ext cx="104585" cy="1050009"/>
        </a:xfrm>
        <a:prstGeom prst="rightBracket">
          <a:avLst/>
        </a:prstGeom>
        <a:ln w="9525">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oneCellAnchor>
    <xdr:from>
      <xdr:col>12</xdr:col>
      <xdr:colOff>645026</xdr:colOff>
      <xdr:row>75</xdr:row>
      <xdr:rowOff>3342</xdr:rowOff>
    </xdr:from>
    <xdr:ext cx="254942" cy="264560"/>
    <xdr:sp macro="" textlink="">
      <xdr:nvSpPr>
        <xdr:cNvPr id="12" name="TextBox 11">
          <a:extLst>
            <a:ext uri="{FF2B5EF4-FFF2-40B4-BE49-F238E27FC236}">
              <a16:creationId xmlns:a16="http://schemas.microsoft.com/office/drawing/2014/main" id="{28EAECF1-FDD5-F787-531E-8A8E9BEC9249}"/>
            </a:ext>
          </a:extLst>
        </xdr:cNvPr>
        <xdr:cNvSpPr txBox="1"/>
      </xdr:nvSpPr>
      <xdr:spPr>
        <a:xfrm>
          <a:off x="15092947" y="1385636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kern="1200">
              <a:solidFill>
                <a:schemeClr val="bg2">
                  <a:lumMod val="50000"/>
                </a:schemeClr>
              </a:solidFill>
            </a:rPr>
            <a:t>*</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115887</xdr:colOff>
      <xdr:row>8</xdr:row>
      <xdr:rowOff>66675</xdr:rowOff>
    </xdr:from>
    <xdr:to>
      <xdr:col>16</xdr:col>
      <xdr:colOff>420687</xdr:colOff>
      <xdr:row>22</xdr:row>
      <xdr:rowOff>146050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C091EC3-4082-B497-BD51-15A1FFB0C1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02287" y="1539875"/>
              <a:ext cx="4572000" cy="26638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269875</xdr:colOff>
      <xdr:row>3</xdr:row>
      <xdr:rowOff>133350</xdr:rowOff>
    </xdr:from>
    <xdr:to>
      <xdr:col>11</xdr:col>
      <xdr:colOff>438150</xdr:colOff>
      <xdr:row>21</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21AFA72-F260-644B-8F00-F76B6A97F6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08275" y="685800"/>
              <a:ext cx="4435475" cy="3251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359103</xdr:colOff>
      <xdr:row>17</xdr:row>
      <xdr:rowOff>166414</xdr:rowOff>
    </xdr:from>
    <xdr:to>
      <xdr:col>9</xdr:col>
      <xdr:colOff>96345</xdr:colOff>
      <xdr:row>18</xdr:row>
      <xdr:rowOff>74453</xdr:rowOff>
    </xdr:to>
    <xdr:sp macro="" textlink="">
      <xdr:nvSpPr>
        <xdr:cNvPr id="3" name="Right Bracket 2">
          <a:extLst>
            <a:ext uri="{FF2B5EF4-FFF2-40B4-BE49-F238E27FC236}">
              <a16:creationId xmlns:a16="http://schemas.microsoft.com/office/drawing/2014/main" id="{991DCF15-4252-48FA-9A77-51DD0CF16698}"/>
            </a:ext>
          </a:extLst>
        </xdr:cNvPr>
        <xdr:cNvSpPr/>
      </xdr:nvSpPr>
      <xdr:spPr>
        <a:xfrm rot="5400000">
          <a:off x="5051532" y="2870640"/>
          <a:ext cx="91970" cy="954690"/>
        </a:xfrm>
        <a:prstGeom prst="rightBracket">
          <a:avLst/>
        </a:prstGeom>
        <a:ln w="9525">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oneCellAnchor>
    <xdr:from>
      <xdr:col>8</xdr:col>
      <xdr:colOff>79059</xdr:colOff>
      <xdr:row>18</xdr:row>
      <xdr:rowOff>50092</xdr:rowOff>
    </xdr:from>
    <xdr:ext cx="254942" cy="264560"/>
    <xdr:sp macro="" textlink="">
      <xdr:nvSpPr>
        <xdr:cNvPr id="4" name="TextBox 3">
          <a:extLst>
            <a:ext uri="{FF2B5EF4-FFF2-40B4-BE49-F238E27FC236}">
              <a16:creationId xmlns:a16="http://schemas.microsoft.com/office/drawing/2014/main" id="{C3CD88C7-C5D2-49B6-9613-D694FF38EC3F}"/>
            </a:ext>
          </a:extLst>
        </xdr:cNvPr>
        <xdr:cNvSpPr txBox="1"/>
      </xdr:nvSpPr>
      <xdr:spPr>
        <a:xfrm>
          <a:off x="4948852" y="3369609"/>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kern="1200">
              <a:solidFill>
                <a:schemeClr val="bg2">
                  <a:lumMod val="50000"/>
                </a:schemeClr>
              </a:solidFill>
            </a:rPr>
            <a:t>*</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080257-BFA1-460B-B07A-36A64761A16A}" name="Table1" displayName="Table1" ref="C1:F11" totalsRowShown="0" dataDxfId="13">
  <autoFilter ref="C1:F11" xr:uid="{AD080257-BFA1-460B-B07A-36A64761A16A}"/>
  <tableColumns count="4">
    <tableColumn id="1" xr3:uid="{4F27821A-74B4-4054-BD57-59CB04F69638}" name="Group" dataDxfId="12"/>
    <tableColumn id="2" xr3:uid="{40FF8A35-FADD-40F8-9C7C-8272D131492D}" name="P1" dataDxfId="11"/>
    <tableColumn id="3" xr3:uid="{57E54AEA-9EE5-4960-BBF2-37C5CACE9F4B}" name="P2" dataDxfId="10"/>
    <tableColumn id="4" xr3:uid="{9B5C91BC-FC38-40B1-900E-1D679A89BBE9}" name="P1_P2_AVG" dataDxfId="9">
      <calculatedColumnFormula>AVERAGE(Table1[[#This Row],[P1]]:Table1[[#This Row],[P2]])</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13B083-0BCB-449A-A18A-943282863FFE}" name="Table2" displayName="Table2" ref="I1:P10" totalsRowShown="0" dataDxfId="8">
  <autoFilter ref="I1:P10" xr:uid="{1613B083-0BCB-449A-A18A-943282863FFE}"/>
  <tableColumns count="8">
    <tableColumn id="1" xr3:uid="{4B00F100-EEAB-4176-8F7C-64576AF95E9C}" name="Group" dataDxfId="7"/>
    <tableColumn id="2" xr3:uid="{0C1C6D39-9F0B-4EFB-8FFF-6819FFEE1A73}" name="P1" dataDxfId="6"/>
    <tableColumn id="3" xr3:uid="{4B646295-E6BA-4208-9890-BF77B7CC4DB0}" name="P2" dataDxfId="5"/>
    <tableColumn id="4" xr3:uid="{90141FC2-ED7D-4A6B-AFC1-04A51D13EAB7}" name="P3" dataDxfId="4"/>
    <tableColumn id="5" xr3:uid="{45EA91F4-80A5-4D09-8BA5-58CA8E684F50}" name="avg_P1P2" dataDxfId="3">
      <calculatedColumnFormula>AVERAGE(Table2[[#This Row],[P1]:[P2]])</calculatedColumnFormula>
    </tableColumn>
    <tableColumn id="6" xr3:uid="{8D95483F-1D1F-4BC0-9A13-DB0617692381}" name="avg_P1P3" dataDxfId="2">
      <calculatedColumnFormula>AVERAGE(J2,L2)</calculatedColumnFormula>
    </tableColumn>
    <tableColumn id="7" xr3:uid="{CEE85F33-BF2F-4114-920C-22ACF0374CF1}" name="avg_P2P3" dataDxfId="1">
      <calculatedColumnFormula>AVERAGE(Table2[[#This Row],[P2]]:Table2[[#This Row],[P3]])</calculatedColumnFormula>
    </tableColumn>
    <tableColumn id="8" xr3:uid="{2974D60E-6187-4B53-9C0A-D6CCD473C533}" name="avg_P123" dataDxfId="0">
      <calculatedColumnFormula>AVERAGE(Table2[[#This Row],[P1]],Table2[[#This Row],[P2]],Table2[[#This Row],[P3]])</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workbookViewId="0">
      <selection activeCell="A22" sqref="A13:A22"/>
    </sheetView>
  </sheetViews>
  <sheetFormatPr defaultRowHeight="14.5"/>
  <cols>
    <col min="1" max="1" width="54.54296875" customWidth="1"/>
    <col min="2" max="2" width="22.81640625" customWidth="1"/>
    <col min="3" max="3" width="25" customWidth="1"/>
    <col min="4" max="4" width="10.81640625" customWidth="1"/>
    <col min="5" max="5" width="11.54296875" customWidth="1"/>
  </cols>
  <sheetData>
    <row r="1" spans="1:7">
      <c r="A1" t="s">
        <v>0</v>
      </c>
      <c r="B1" t="s">
        <v>1</v>
      </c>
      <c r="C1" s="1" t="s">
        <v>2</v>
      </c>
      <c r="D1" t="s">
        <v>78</v>
      </c>
      <c r="E1" t="s">
        <v>52</v>
      </c>
      <c r="F1" t="s">
        <v>53</v>
      </c>
      <c r="G1" t="s">
        <v>3</v>
      </c>
    </row>
    <row r="2" spans="1:7">
      <c r="A2" t="s">
        <v>65</v>
      </c>
      <c r="B2" s="1" t="s">
        <v>4</v>
      </c>
      <c r="C2" s="1" t="s">
        <v>5</v>
      </c>
      <c r="D2">
        <v>1</v>
      </c>
      <c r="E2">
        <v>0</v>
      </c>
      <c r="G2" t="s">
        <v>6</v>
      </c>
    </row>
    <row r="3" spans="1:7">
      <c r="A3" t="s">
        <v>64</v>
      </c>
      <c r="B3" s="1" t="s">
        <v>7</v>
      </c>
      <c r="C3" s="1" t="s">
        <v>8</v>
      </c>
      <c r="D3">
        <v>1</v>
      </c>
      <c r="E3">
        <v>0</v>
      </c>
      <c r="G3" t="s">
        <v>9</v>
      </c>
    </row>
    <row r="4" spans="1:7">
      <c r="A4" t="s">
        <v>62</v>
      </c>
      <c r="B4" s="1" t="s">
        <v>10</v>
      </c>
      <c r="C4" s="1" t="s">
        <v>11</v>
      </c>
      <c r="D4">
        <v>1</v>
      </c>
      <c r="E4">
        <v>1</v>
      </c>
    </row>
    <row r="5" spans="1:7">
      <c r="A5" t="s">
        <v>61</v>
      </c>
      <c r="B5" s="1" t="s">
        <v>12</v>
      </c>
      <c r="C5" s="1" t="s">
        <v>13</v>
      </c>
      <c r="D5">
        <v>1</v>
      </c>
      <c r="E5">
        <v>1</v>
      </c>
      <c r="G5" t="s">
        <v>14</v>
      </c>
    </row>
    <row r="6" spans="1:7">
      <c r="A6" t="s">
        <v>60</v>
      </c>
      <c r="B6" s="1" t="s">
        <v>15</v>
      </c>
      <c r="C6" s="1" t="s">
        <v>11</v>
      </c>
      <c r="D6">
        <v>0</v>
      </c>
      <c r="E6">
        <v>0</v>
      </c>
      <c r="G6" t="s">
        <v>16</v>
      </c>
    </row>
    <row r="7" spans="1:7">
      <c r="A7" t="s">
        <v>59</v>
      </c>
      <c r="B7" s="1" t="s">
        <v>17</v>
      </c>
      <c r="C7" s="1" t="s">
        <v>18</v>
      </c>
      <c r="D7">
        <v>1</v>
      </c>
      <c r="E7">
        <v>1</v>
      </c>
    </row>
    <row r="8" spans="1:7">
      <c r="A8" t="s">
        <v>58</v>
      </c>
      <c r="B8" s="1" t="s">
        <v>19</v>
      </c>
      <c r="C8" s="1" t="s">
        <v>20</v>
      </c>
      <c r="D8">
        <v>1</v>
      </c>
      <c r="E8">
        <v>1</v>
      </c>
      <c r="G8" t="s">
        <v>21</v>
      </c>
    </row>
    <row r="9" spans="1:7">
      <c r="A9" t="s">
        <v>57</v>
      </c>
      <c r="B9" s="1" t="s">
        <v>22</v>
      </c>
      <c r="C9" s="1" t="s">
        <v>23</v>
      </c>
      <c r="D9">
        <v>1</v>
      </c>
      <c r="E9">
        <v>1</v>
      </c>
    </row>
    <row r="10" spans="1:7">
      <c r="A10" t="s">
        <v>56</v>
      </c>
      <c r="B10" s="1" t="s">
        <v>24</v>
      </c>
      <c r="C10" s="1" t="s">
        <v>79</v>
      </c>
      <c r="D10">
        <v>1</v>
      </c>
      <c r="E10">
        <v>0</v>
      </c>
      <c r="G10" t="s">
        <v>25</v>
      </c>
    </row>
    <row r="11" spans="1:7">
      <c r="A11" t="s">
        <v>55</v>
      </c>
      <c r="B11" s="1" t="s">
        <v>80</v>
      </c>
      <c r="C11" s="1" t="s">
        <v>81</v>
      </c>
      <c r="D11">
        <v>1</v>
      </c>
      <c r="E11">
        <v>0</v>
      </c>
      <c r="G11" t="s">
        <v>26</v>
      </c>
    </row>
    <row r="12" spans="1:7">
      <c r="A12" t="s">
        <v>54</v>
      </c>
      <c r="B12" s="1" t="s">
        <v>27</v>
      </c>
      <c r="C12" s="1" t="s">
        <v>82</v>
      </c>
      <c r="D12">
        <v>1</v>
      </c>
      <c r="E12">
        <v>0</v>
      </c>
      <c r="G12" t="s">
        <v>28</v>
      </c>
    </row>
    <row r="13" spans="1:7">
      <c r="A13" t="s">
        <v>66</v>
      </c>
      <c r="B13" s="1" t="s">
        <v>29</v>
      </c>
      <c r="C13" s="1" t="s">
        <v>30</v>
      </c>
      <c r="D13">
        <v>1</v>
      </c>
      <c r="E13">
        <v>1</v>
      </c>
      <c r="G13" t="s">
        <v>31</v>
      </c>
    </row>
    <row r="14" spans="1:7">
      <c r="A14" t="s">
        <v>68</v>
      </c>
      <c r="B14" s="1" t="s">
        <v>32</v>
      </c>
      <c r="C14" s="1" t="s">
        <v>33</v>
      </c>
      <c r="D14">
        <v>1</v>
      </c>
      <c r="E14">
        <v>0</v>
      </c>
      <c r="G14" t="s">
        <v>34</v>
      </c>
    </row>
    <row r="15" spans="1:7">
      <c r="A15" t="s">
        <v>69</v>
      </c>
      <c r="B15" s="1" t="s">
        <v>35</v>
      </c>
      <c r="C15" s="1" t="s">
        <v>36</v>
      </c>
      <c r="D15">
        <v>1</v>
      </c>
      <c r="E15">
        <v>1</v>
      </c>
      <c r="G15" t="s">
        <v>37</v>
      </c>
    </row>
    <row r="16" spans="1:7">
      <c r="A16" t="s">
        <v>70</v>
      </c>
      <c r="B16" s="1" t="s">
        <v>38</v>
      </c>
      <c r="C16" s="1" t="s">
        <v>39</v>
      </c>
      <c r="D16">
        <v>1</v>
      </c>
      <c r="E16">
        <v>1</v>
      </c>
      <c r="G16" t="s">
        <v>40</v>
      </c>
    </row>
    <row r="17" spans="1:7">
      <c r="A17" t="s">
        <v>71</v>
      </c>
      <c r="B17" s="1" t="s">
        <v>41</v>
      </c>
      <c r="C17" s="1" t="s">
        <v>42</v>
      </c>
      <c r="D17">
        <v>1</v>
      </c>
      <c r="E17">
        <v>1</v>
      </c>
    </row>
    <row r="18" spans="1:7">
      <c r="A18" t="s">
        <v>72</v>
      </c>
      <c r="B18" s="1" t="s">
        <v>43</v>
      </c>
      <c r="C18" s="1" t="s">
        <v>44</v>
      </c>
      <c r="D18">
        <v>0</v>
      </c>
      <c r="E18">
        <v>0</v>
      </c>
      <c r="G18" t="s">
        <v>45</v>
      </c>
    </row>
    <row r="19" spans="1:7">
      <c r="A19" t="s">
        <v>73</v>
      </c>
      <c r="B19" s="1" t="s">
        <v>46</v>
      </c>
      <c r="C19" s="1" t="s">
        <v>83</v>
      </c>
      <c r="D19">
        <v>1</v>
      </c>
      <c r="E19">
        <v>1</v>
      </c>
    </row>
    <row r="20" spans="1:7">
      <c r="A20" t="s">
        <v>74</v>
      </c>
      <c r="B20" s="1" t="s">
        <v>84</v>
      </c>
      <c r="C20" s="1" t="s">
        <v>85</v>
      </c>
      <c r="D20">
        <v>1</v>
      </c>
      <c r="E20">
        <v>1</v>
      </c>
      <c r="G20" t="s">
        <v>86</v>
      </c>
    </row>
    <row r="21" spans="1:7">
      <c r="A21" t="s">
        <v>75</v>
      </c>
      <c r="B21" s="1" t="s">
        <v>87</v>
      </c>
      <c r="C21" s="1" t="s">
        <v>47</v>
      </c>
      <c r="D21">
        <v>1</v>
      </c>
      <c r="E21">
        <v>1</v>
      </c>
      <c r="G21" t="s">
        <v>48</v>
      </c>
    </row>
    <row r="22" spans="1:7">
      <c r="A22" t="s">
        <v>49</v>
      </c>
      <c r="B22" s="1" t="s">
        <v>51</v>
      </c>
      <c r="C22" s="1" t="s">
        <v>50</v>
      </c>
      <c r="D22">
        <v>1</v>
      </c>
      <c r="E22">
        <v>0</v>
      </c>
    </row>
    <row r="25" spans="1:7">
      <c r="A25" t="s">
        <v>63</v>
      </c>
      <c r="B25" s="1"/>
      <c r="C25" s="1"/>
      <c r="F25" t="s">
        <v>76</v>
      </c>
      <c r="G25" t="s">
        <v>77</v>
      </c>
    </row>
    <row r="26" spans="1:7">
      <c r="A26" t="s">
        <v>67</v>
      </c>
      <c r="B26" s="1"/>
      <c r="C26" s="1"/>
      <c r="F26" t="s">
        <v>76</v>
      </c>
      <c r="G26" t="s">
        <v>77</v>
      </c>
    </row>
    <row r="31" spans="1:7">
      <c r="A31" t="s">
        <v>143</v>
      </c>
    </row>
    <row r="32" spans="1:7">
      <c r="A32" t="s">
        <v>144</v>
      </c>
    </row>
    <row r="36" spans="1:1">
      <c r="A36" t="s">
        <v>145</v>
      </c>
    </row>
    <row r="37" spans="1:1">
      <c r="A37" t="s">
        <v>146</v>
      </c>
    </row>
    <row r="38" spans="1:1">
      <c r="A38" t="s">
        <v>147</v>
      </c>
    </row>
    <row r="39" spans="1:1">
      <c r="A39"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B891-F584-4F5A-A553-41469C7D6F94}">
  <dimension ref="C1:AA116"/>
  <sheetViews>
    <sheetView topLeftCell="G55" zoomScale="160" zoomScaleNormal="160" workbookViewId="0">
      <selection activeCell="O81" sqref="O81"/>
    </sheetView>
  </sheetViews>
  <sheetFormatPr defaultRowHeight="14.5"/>
  <cols>
    <col min="3" max="3" width="57.1796875" customWidth="1"/>
    <col min="4" max="4" width="13" customWidth="1"/>
    <col min="9" max="9" width="58.26953125" customWidth="1"/>
    <col min="13" max="13" width="13" customWidth="1"/>
    <col min="14" max="15" width="11.81640625" customWidth="1"/>
  </cols>
  <sheetData>
    <row r="1" spans="3:16">
      <c r="C1" t="s">
        <v>0</v>
      </c>
      <c r="D1" t="s">
        <v>88</v>
      </c>
      <c r="E1" t="s">
        <v>89</v>
      </c>
      <c r="F1" t="s">
        <v>95</v>
      </c>
      <c r="I1" t="s">
        <v>0</v>
      </c>
      <c r="J1" t="s">
        <v>88</v>
      </c>
      <c r="K1" t="s">
        <v>89</v>
      </c>
      <c r="L1" t="s">
        <v>90</v>
      </c>
      <c r="M1" t="s">
        <v>92</v>
      </c>
      <c r="N1" t="s">
        <v>93</v>
      </c>
      <c r="O1" t="s">
        <v>94</v>
      </c>
      <c r="P1" t="s">
        <v>96</v>
      </c>
    </row>
    <row r="2" spans="3:16">
      <c r="C2" s="2" t="s">
        <v>65</v>
      </c>
      <c r="D2" s="7">
        <v>2.4711409999999998</v>
      </c>
      <c r="E2" s="2">
        <v>30.938687999999999</v>
      </c>
      <c r="F2" s="2">
        <f>AVERAGE(Table1[[#This Row],[P1]]:Table1[[#This Row],[P2]])</f>
        <v>16.704914500000001</v>
      </c>
      <c r="I2" s="2" t="s">
        <v>66</v>
      </c>
      <c r="J2" s="2">
        <v>13.27946</v>
      </c>
      <c r="K2" s="2">
        <v>26.720863999999999</v>
      </c>
      <c r="L2" s="2">
        <v>36.113652999999999</v>
      </c>
      <c r="M2" s="2">
        <f>AVERAGE(Table2[[#This Row],[P1]:[P2]])</f>
        <v>20.000162</v>
      </c>
      <c r="N2" s="2">
        <f t="shared" ref="N2:N10" si="0">AVERAGE(J2,L2)</f>
        <v>24.6965565</v>
      </c>
      <c r="O2" s="2">
        <f>AVERAGE(Table2[[#This Row],[P2]]:Table2[[#This Row],[P3]])</f>
        <v>31.417258499999999</v>
      </c>
      <c r="P2" s="2">
        <f>AVERAGE(Table2[[#This Row],[P1]],Table2[[#This Row],[P2]],Table2[[#This Row],[P3]])</f>
        <v>25.371325666666667</v>
      </c>
    </row>
    <row r="3" spans="3:16">
      <c r="C3" s="2" t="s">
        <v>64</v>
      </c>
      <c r="D3" s="2">
        <v>32.792991000000001</v>
      </c>
      <c r="E3" s="2">
        <v>31.456980000000001</v>
      </c>
      <c r="F3" s="2">
        <f>AVERAGE(Table1[[#This Row],[P1]]:Table1[[#This Row],[P2]])</f>
        <v>32.124985500000001</v>
      </c>
      <c r="I3" s="2" t="s">
        <v>68</v>
      </c>
      <c r="J3" s="2">
        <v>18.098331000000002</v>
      </c>
      <c r="K3" s="2">
        <v>29.803229999999999</v>
      </c>
      <c r="L3" s="2">
        <v>14.655714</v>
      </c>
      <c r="M3" s="2">
        <f>AVERAGE(Table2[[#This Row],[P1]:[P2]])</f>
        <v>23.9507805</v>
      </c>
      <c r="N3" s="2">
        <f>AVERAGE(J3,L3)</f>
        <v>16.377022500000002</v>
      </c>
      <c r="O3" s="2">
        <f>AVERAGE(Table2[[#This Row],[P2]]:Table2[[#This Row],[P3]])</f>
        <v>22.229472000000001</v>
      </c>
      <c r="P3" s="2">
        <f>AVERAGE(Table2[[#This Row],[P1]],Table2[[#This Row],[P2]],Table2[[#This Row],[P3]])</f>
        <v>20.852425</v>
      </c>
    </row>
    <row r="4" spans="3:16">
      <c r="C4" s="2" t="s">
        <v>62</v>
      </c>
      <c r="D4" s="2">
        <v>32.033904</v>
      </c>
      <c r="E4" s="2">
        <v>34.357607000000002</v>
      </c>
      <c r="F4" s="2">
        <f>AVERAGE(Table1[[#This Row],[P1]]:Table1[[#This Row],[P2]])</f>
        <v>33.195755500000004</v>
      </c>
      <c r="I4" s="2" t="s">
        <v>69</v>
      </c>
      <c r="J4" s="7">
        <v>2.2134100000000001</v>
      </c>
      <c r="K4" s="2">
        <v>11.462300000000001</v>
      </c>
      <c r="L4" s="2">
        <v>22.608398000000001</v>
      </c>
      <c r="M4" s="2">
        <f>AVERAGE(Table2[[#This Row],[P1]:[P2]])</f>
        <v>6.8378550000000002</v>
      </c>
      <c r="N4" s="2">
        <f t="shared" si="0"/>
        <v>12.410904</v>
      </c>
      <c r="O4" s="2">
        <f>AVERAGE(Table2[[#This Row],[P2]]:Table2[[#This Row],[P3]])</f>
        <v>17.035349</v>
      </c>
      <c r="P4" s="2">
        <f>AVERAGE(Table2[[#This Row],[P1]],Table2[[#This Row],[P2]],Table2[[#This Row],[P3]])</f>
        <v>12.094702666666668</v>
      </c>
    </row>
    <row r="5" spans="3:16">
      <c r="C5" s="2" t="s">
        <v>61</v>
      </c>
      <c r="D5" s="2">
        <v>38.272494999999999</v>
      </c>
      <c r="E5" s="2">
        <v>39.090671999999998</v>
      </c>
      <c r="F5" s="2">
        <f>AVERAGE(Table1[[#This Row],[P1]]:Table1[[#This Row],[P2]])</f>
        <v>38.681583500000002</v>
      </c>
      <c r="I5" s="2" t="s">
        <v>70</v>
      </c>
      <c r="J5" s="2">
        <v>24.187462</v>
      </c>
      <c r="K5" s="2">
        <v>7.7812380000000001</v>
      </c>
      <c r="L5" s="7">
        <v>58.124909000000002</v>
      </c>
      <c r="M5" s="2">
        <f>AVERAGE(Table2[[#This Row],[P1]:[P2]])</f>
        <v>15.984349999999999</v>
      </c>
      <c r="N5" s="2">
        <f t="shared" si="0"/>
        <v>41.156185499999999</v>
      </c>
      <c r="O5" s="2">
        <f>AVERAGE(Table2[[#This Row],[P2]]:Table2[[#This Row],[P3]])</f>
        <v>32.953073500000002</v>
      </c>
      <c r="P5" s="2">
        <f>AVERAGE(Table2[[#This Row],[P1]],Table2[[#This Row],[P2]],Table2[[#This Row],[P3]])</f>
        <v>30.031203000000001</v>
      </c>
    </row>
    <row r="6" spans="3:16">
      <c r="C6" s="2" t="s">
        <v>59</v>
      </c>
      <c r="D6" s="2">
        <v>17.652170000000002</v>
      </c>
      <c r="E6" s="2">
        <v>30.456852999999999</v>
      </c>
      <c r="F6" s="2">
        <f>AVERAGE(Table1[[#This Row],[P1]]:Table1[[#This Row],[P2]])</f>
        <v>24.0545115</v>
      </c>
      <c r="I6" s="2" t="s">
        <v>71</v>
      </c>
      <c r="J6" s="2">
        <v>13.098208</v>
      </c>
      <c r="K6" s="2">
        <v>8.8605520000000002</v>
      </c>
      <c r="L6" s="2">
        <v>23.981276999999999</v>
      </c>
      <c r="M6" s="2">
        <f>AVERAGE(Table2[[#This Row],[P1]:[P2]])</f>
        <v>10.979379999999999</v>
      </c>
      <c r="N6" s="2">
        <f>AVERAGE(J6,L6)</f>
        <v>18.539742499999999</v>
      </c>
      <c r="O6" s="2">
        <f>AVERAGE(Table2[[#This Row],[P2]]:Table2[[#This Row],[P3]])</f>
        <v>16.420914499999999</v>
      </c>
      <c r="P6" s="2">
        <f>AVERAGE(Table2[[#This Row],[P1]],Table2[[#This Row],[P2]],Table2[[#This Row],[P3]])</f>
        <v>15.313345666666665</v>
      </c>
    </row>
    <row r="7" spans="3:16">
      <c r="C7" s="2" t="s">
        <v>58</v>
      </c>
      <c r="D7" s="2">
        <v>13.541086</v>
      </c>
      <c r="E7" s="2">
        <v>38.751725</v>
      </c>
      <c r="F7" s="2">
        <f>AVERAGE(Table1[[#This Row],[P1]]:Table1[[#This Row],[P2]])</f>
        <v>26.1464055</v>
      </c>
      <c r="I7" s="2" t="s">
        <v>73</v>
      </c>
      <c r="J7" s="2">
        <v>9.9307610000000004</v>
      </c>
      <c r="K7" s="2">
        <v>10.206614999999999</v>
      </c>
      <c r="L7" s="2">
        <v>6.4825799999999996</v>
      </c>
      <c r="M7" s="2">
        <f>AVERAGE(Table2[[#This Row],[P1]:[P2]])</f>
        <v>10.068688</v>
      </c>
      <c r="N7" s="2">
        <f t="shared" si="0"/>
        <v>8.2066704999999995</v>
      </c>
      <c r="O7" s="2">
        <f>AVERAGE(Table2[[#This Row],[P2]]:Table2[[#This Row],[P3]])</f>
        <v>8.344597499999999</v>
      </c>
      <c r="P7" s="2">
        <f>AVERAGE(Table2[[#This Row],[P1]],Table2[[#This Row],[P2]],Table2[[#This Row],[P3]])</f>
        <v>8.8733186666666661</v>
      </c>
    </row>
    <row r="8" spans="3:16">
      <c r="C8" s="2" t="s">
        <v>57</v>
      </c>
      <c r="D8" s="2">
        <v>22.615593000000001</v>
      </c>
      <c r="E8" s="2">
        <v>41.354227999999999</v>
      </c>
      <c r="F8" s="2">
        <f>AVERAGE(Table1[[#This Row],[P1]]:Table1[[#This Row],[P2]])</f>
        <v>31.984910499999998</v>
      </c>
      <c r="I8" s="2" t="s">
        <v>74</v>
      </c>
      <c r="J8" s="2">
        <v>18.789473999999998</v>
      </c>
      <c r="K8" s="2">
        <v>14.210526</v>
      </c>
      <c r="L8" s="2">
        <v>7.4210529999999997</v>
      </c>
      <c r="M8" s="2">
        <f>AVERAGE(Table2[[#This Row],[P1]:[P2]])</f>
        <v>16.5</v>
      </c>
      <c r="N8" s="2">
        <f t="shared" si="0"/>
        <v>13.1052635</v>
      </c>
      <c r="O8" s="2">
        <f>AVERAGE(Table2[[#This Row],[P2]]:Table2[[#This Row],[P3]])</f>
        <v>10.815789499999999</v>
      </c>
      <c r="P8" s="2">
        <f>AVERAGE(Table2[[#This Row],[P1]],Table2[[#This Row],[P2]],Table2[[#This Row],[P3]])</f>
        <v>13.473684333333333</v>
      </c>
    </row>
    <row r="9" spans="3:16">
      <c r="C9" s="2" t="s">
        <v>56</v>
      </c>
      <c r="D9" s="2">
        <v>60.294035000000001</v>
      </c>
      <c r="E9" s="2">
        <v>25.324967000000001</v>
      </c>
      <c r="F9" s="2">
        <f>AVERAGE(Table1[[#This Row],[P1]]:Table1[[#This Row],[P2]])</f>
        <v>42.809500999999997</v>
      </c>
      <c r="I9" s="2" t="s">
        <v>75</v>
      </c>
      <c r="J9" s="2">
        <v>13.606121</v>
      </c>
      <c r="K9" s="2">
        <v>26.940118999999999</v>
      </c>
      <c r="L9" s="2">
        <v>34.287424999999999</v>
      </c>
      <c r="M9" s="2">
        <f>AVERAGE(Table2[[#This Row],[P1]:[P2]])</f>
        <v>20.273119999999999</v>
      </c>
      <c r="N9" s="2">
        <f t="shared" si="0"/>
        <v>23.946773</v>
      </c>
      <c r="O9" s="2">
        <f>AVERAGE(Table2[[#This Row],[P2]]:Table2[[#This Row],[P3]])</f>
        <v>30.613771999999997</v>
      </c>
      <c r="P9" s="2">
        <f>AVERAGE(Table2[[#This Row],[P1]],Table2[[#This Row],[P2]],Table2[[#This Row],[P3]])</f>
        <v>24.944554999999998</v>
      </c>
    </row>
    <row r="10" spans="3:16">
      <c r="C10" s="2" t="s">
        <v>55</v>
      </c>
      <c r="D10" s="2">
        <v>5.3683930000000002</v>
      </c>
      <c r="E10" s="2">
        <v>24.631449</v>
      </c>
      <c r="F10" s="2">
        <f>AVERAGE(Table1[[#This Row],[P1]]:Table1[[#This Row],[P2]])</f>
        <v>14.999921000000001</v>
      </c>
      <c r="I10" s="2" t="s">
        <v>49</v>
      </c>
      <c r="J10" s="2">
        <v>31.080375</v>
      </c>
      <c r="K10" s="2">
        <v>10.094481</v>
      </c>
      <c r="L10" s="2">
        <v>17.930986000000001</v>
      </c>
      <c r="M10" s="2">
        <f>AVERAGE(Table2[[#This Row],[P1]:[P2]])</f>
        <v>20.587427999999999</v>
      </c>
      <c r="N10" s="2">
        <f t="shared" si="0"/>
        <v>24.5056805</v>
      </c>
      <c r="O10" s="2">
        <f>AVERAGE(Table2[[#This Row],[P2]]:Table2[[#This Row],[P3]])</f>
        <v>14.0127335</v>
      </c>
      <c r="P10" s="2">
        <f>AVERAGE(Table2[[#This Row],[P1]],Table2[[#This Row],[P2]],Table2[[#This Row],[P3]])</f>
        <v>19.701947333333333</v>
      </c>
    </row>
    <row r="11" spans="3:16">
      <c r="C11" s="2" t="s">
        <v>54</v>
      </c>
      <c r="D11" s="2">
        <v>27.407136999999999</v>
      </c>
      <c r="E11" s="2">
        <v>20.296095999999999</v>
      </c>
      <c r="F11" s="2">
        <f>AVERAGE(Table1[[#This Row],[P1]]:Table1[[#This Row],[P2]])</f>
        <v>23.851616499999999</v>
      </c>
    </row>
    <row r="13" spans="3:16">
      <c r="D13" t="s">
        <v>91</v>
      </c>
    </row>
    <row r="14" spans="3:16">
      <c r="D14">
        <f>CORREL(Table1[P1],Table1[P2])</f>
        <v>-7.203443722093221E-2</v>
      </c>
    </row>
    <row r="23" spans="11:27" ht="15" thickBot="1"/>
    <row r="24" spans="11:27">
      <c r="Y24" s="4"/>
      <c r="Z24" s="4"/>
      <c r="AA24" s="4"/>
    </row>
    <row r="32" spans="11:27">
      <c r="K32" s="6" t="s">
        <v>109</v>
      </c>
    </row>
    <row r="33" spans="4:27" ht="15" thickBot="1">
      <c r="K33" s="5" t="s">
        <v>115</v>
      </c>
    </row>
    <row r="34" spans="4:27">
      <c r="K34" s="4"/>
      <c r="L34" s="4" t="s">
        <v>97</v>
      </c>
      <c r="M34" s="4" t="s">
        <v>98</v>
      </c>
    </row>
    <row r="35" spans="4:27" ht="15" thickBot="1">
      <c r="K35" t="s">
        <v>99</v>
      </c>
      <c r="L35">
        <v>18.961834148148149</v>
      </c>
      <c r="M35">
        <v>28.455410500000006</v>
      </c>
      <c r="Y35" s="3"/>
      <c r="Z35" s="3"/>
      <c r="AA35" s="3"/>
    </row>
    <row r="36" spans="4:27">
      <c r="K36" t="s">
        <v>100</v>
      </c>
      <c r="L36">
        <v>49.486806798110422</v>
      </c>
      <c r="M36">
        <v>80.447471020117121</v>
      </c>
    </row>
    <row r="37" spans="4:27">
      <c r="K37" t="s">
        <v>101</v>
      </c>
      <c r="L37">
        <v>9</v>
      </c>
      <c r="M37">
        <v>10</v>
      </c>
    </row>
    <row r="38" spans="4:27">
      <c r="K38" t="s">
        <v>102</v>
      </c>
      <c r="L38">
        <v>0</v>
      </c>
    </row>
    <row r="39" spans="4:27">
      <c r="K39" t="s">
        <v>103</v>
      </c>
      <c r="L39">
        <v>17</v>
      </c>
    </row>
    <row r="40" spans="4:27">
      <c r="K40" t="s">
        <v>104</v>
      </c>
      <c r="L40">
        <v>-2.5796922549107779</v>
      </c>
      <c r="Q40" t="s">
        <v>112</v>
      </c>
      <c r="R40" t="s">
        <v>113</v>
      </c>
    </row>
    <row r="41" spans="4:27">
      <c r="K41" t="s">
        <v>105</v>
      </c>
      <c r="L41">
        <v>9.740265652592138E-3</v>
      </c>
      <c r="Q41">
        <v>13.27946</v>
      </c>
      <c r="R41">
        <v>2.4711409999999998</v>
      </c>
      <c r="U41" s="6" t="s">
        <v>110</v>
      </c>
    </row>
    <row r="42" spans="4:27" ht="15" thickBot="1">
      <c r="K42" t="s">
        <v>106</v>
      </c>
      <c r="L42">
        <v>1.7396067260750732</v>
      </c>
      <c r="Q42">
        <v>18.098331000000002</v>
      </c>
      <c r="R42">
        <v>32.792991000000001</v>
      </c>
      <c r="U42" s="5" t="s">
        <v>114</v>
      </c>
    </row>
    <row r="43" spans="4:27">
      <c r="K43" t="s">
        <v>107</v>
      </c>
      <c r="L43">
        <v>1.9480531305184276E-2</v>
      </c>
      <c r="Q43">
        <v>2.2134100000000001</v>
      </c>
      <c r="R43">
        <v>32.033904</v>
      </c>
      <c r="U43" s="4"/>
      <c r="V43" s="4" t="s">
        <v>97</v>
      </c>
      <c r="W43" s="4" t="s">
        <v>98</v>
      </c>
    </row>
    <row r="44" spans="4:27" ht="15" thickBot="1">
      <c r="K44" s="3" t="s">
        <v>108</v>
      </c>
      <c r="L44" s="3">
        <v>2.109815577833317</v>
      </c>
      <c r="M44" s="3"/>
      <c r="Q44">
        <v>24.187462</v>
      </c>
      <c r="R44">
        <v>38.272494999999999</v>
      </c>
      <c r="U44" t="s">
        <v>99</v>
      </c>
      <c r="V44">
        <v>18.961834148148146</v>
      </c>
      <c r="W44">
        <v>28.455410499999999</v>
      </c>
    </row>
    <row r="45" spans="4:27">
      <c r="Q45">
        <v>13.098208</v>
      </c>
      <c r="R45">
        <v>17.652170000000002</v>
      </c>
      <c r="U45" t="s">
        <v>100</v>
      </c>
      <c r="V45">
        <v>144.02790603704489</v>
      </c>
      <c r="W45">
        <v>171.30275626533091</v>
      </c>
    </row>
    <row r="46" spans="4:27">
      <c r="Q46">
        <v>9.9307610000000004</v>
      </c>
      <c r="R46">
        <v>13.541086</v>
      </c>
      <c r="U46" t="s">
        <v>101</v>
      </c>
      <c r="V46">
        <v>27</v>
      </c>
      <c r="W46">
        <v>20</v>
      </c>
    </row>
    <row r="47" spans="4:27">
      <c r="K47" s="6" t="s">
        <v>110</v>
      </c>
      <c r="Q47">
        <v>18.789473999999998</v>
      </c>
      <c r="R47">
        <v>22.615593000000001</v>
      </c>
      <c r="U47" t="s">
        <v>111</v>
      </c>
      <c r="V47">
        <v>155.54395391121008</v>
      </c>
    </row>
    <row r="48" spans="4:27" ht="15" thickBot="1">
      <c r="D48">
        <v>2.4711409999999998</v>
      </c>
      <c r="E48">
        <v>30.938687999999999</v>
      </c>
      <c r="K48" s="5" t="s">
        <v>115</v>
      </c>
      <c r="Q48">
        <v>13.606121</v>
      </c>
      <c r="R48">
        <v>60.294035000000001</v>
      </c>
      <c r="U48" t="s">
        <v>102</v>
      </c>
      <c r="V48">
        <v>0</v>
      </c>
    </row>
    <row r="49" spans="4:23">
      <c r="D49">
        <v>32.792991000000001</v>
      </c>
      <c r="E49">
        <v>31.456980000000001</v>
      </c>
      <c r="K49" s="4"/>
      <c r="L49" s="4" t="s">
        <v>97</v>
      </c>
      <c r="M49" s="4" t="s">
        <v>98</v>
      </c>
      <c r="Q49">
        <v>31.080375</v>
      </c>
      <c r="R49">
        <v>5.3683930000000002</v>
      </c>
      <c r="U49" t="s">
        <v>103</v>
      </c>
      <c r="V49">
        <v>45</v>
      </c>
    </row>
    <row r="50" spans="4:23">
      <c r="D50">
        <v>32.033904</v>
      </c>
      <c r="E50">
        <v>34.357607000000002</v>
      </c>
      <c r="K50" t="s">
        <v>99</v>
      </c>
      <c r="L50">
        <v>18.961834148148149</v>
      </c>
      <c r="M50">
        <v>28.455410500000006</v>
      </c>
      <c r="Q50">
        <v>26.720863999999999</v>
      </c>
      <c r="R50">
        <v>27.407136999999999</v>
      </c>
      <c r="U50" t="s">
        <v>104</v>
      </c>
      <c r="V50">
        <v>-2.5801872881105767</v>
      </c>
    </row>
    <row r="51" spans="4:23">
      <c r="D51">
        <v>38.272494999999999</v>
      </c>
      <c r="E51">
        <v>39.090671999999998</v>
      </c>
      <c r="K51" t="s">
        <v>100</v>
      </c>
      <c r="L51">
        <v>49.486806798110422</v>
      </c>
      <c r="M51">
        <v>80.447471020117121</v>
      </c>
      <c r="Q51">
        <v>29.803229999999999</v>
      </c>
      <c r="R51">
        <v>30.938687999999999</v>
      </c>
      <c r="U51" t="s">
        <v>105</v>
      </c>
      <c r="V51">
        <v>6.6046553151036793E-3</v>
      </c>
    </row>
    <row r="52" spans="4:23">
      <c r="D52">
        <v>17.652170000000002</v>
      </c>
      <c r="E52">
        <v>30.456852999999999</v>
      </c>
      <c r="K52" t="s">
        <v>101</v>
      </c>
      <c r="L52">
        <v>9</v>
      </c>
      <c r="M52">
        <v>10</v>
      </c>
      <c r="Q52">
        <v>11.462300000000001</v>
      </c>
      <c r="R52">
        <v>31.456980000000001</v>
      </c>
      <c r="U52" t="s">
        <v>106</v>
      </c>
      <c r="V52">
        <v>1.6794273926523535</v>
      </c>
    </row>
    <row r="53" spans="4:23">
      <c r="D53">
        <v>13.541086</v>
      </c>
      <c r="E53">
        <v>38.751725</v>
      </c>
      <c r="K53" t="s">
        <v>111</v>
      </c>
      <c r="L53">
        <v>65.877746680349262</v>
      </c>
      <c r="Q53">
        <v>7.7812380000000001</v>
      </c>
      <c r="R53">
        <v>34.357607000000002</v>
      </c>
      <c r="U53" t="s">
        <v>107</v>
      </c>
      <c r="V53">
        <v>1.3209310630207359E-2</v>
      </c>
    </row>
    <row r="54" spans="4:23" ht="15" thickBot="1">
      <c r="D54">
        <v>22.615593000000001</v>
      </c>
      <c r="E54">
        <v>41.354227999999999</v>
      </c>
      <c r="K54" t="s">
        <v>102</v>
      </c>
      <c r="L54">
        <v>0</v>
      </c>
      <c r="Q54">
        <v>8.8605520000000002</v>
      </c>
      <c r="R54">
        <v>39.090671999999998</v>
      </c>
      <c r="U54" s="3" t="s">
        <v>108</v>
      </c>
      <c r="V54" s="3">
        <v>2.0141033888808457</v>
      </c>
      <c r="W54" s="3"/>
    </row>
    <row r="55" spans="4:23">
      <c r="D55">
        <v>60.294035000000001</v>
      </c>
      <c r="E55">
        <v>25.324967000000001</v>
      </c>
      <c r="K55" t="s">
        <v>103</v>
      </c>
      <c r="L55">
        <v>17</v>
      </c>
      <c r="Q55">
        <v>10.206614999999999</v>
      </c>
      <c r="R55">
        <v>30.456852999999999</v>
      </c>
    </row>
    <row r="56" spans="4:23">
      <c r="D56">
        <v>5.3683930000000002</v>
      </c>
      <c r="E56">
        <v>24.631449</v>
      </c>
      <c r="K56" t="s">
        <v>104</v>
      </c>
      <c r="L56">
        <v>-2.5456865842639913</v>
      </c>
      <c r="Q56">
        <v>14.210526</v>
      </c>
      <c r="R56">
        <v>38.751725</v>
      </c>
    </row>
    <row r="57" spans="4:23">
      <c r="D57">
        <v>27.407136999999999</v>
      </c>
      <c r="E57">
        <v>20.296095999999999</v>
      </c>
      <c r="K57" t="s">
        <v>105</v>
      </c>
      <c r="L57">
        <v>1.044721861867267E-2</v>
      </c>
      <c r="Q57">
        <v>26.940118999999999</v>
      </c>
      <c r="R57">
        <v>41.354227999999999</v>
      </c>
      <c r="U57" s="6" t="s">
        <v>109</v>
      </c>
    </row>
    <row r="58" spans="4:23" ht="15" thickBot="1">
      <c r="K58" t="s">
        <v>106</v>
      </c>
      <c r="L58">
        <v>1.7396067260750732</v>
      </c>
      <c r="Q58">
        <v>10.094481</v>
      </c>
      <c r="R58">
        <v>25.324967000000001</v>
      </c>
      <c r="U58" s="5" t="s">
        <v>114</v>
      </c>
    </row>
    <row r="59" spans="4:23">
      <c r="K59" s="11" t="s">
        <v>107</v>
      </c>
      <c r="L59" s="11">
        <v>2.0894437237345301E-2</v>
      </c>
      <c r="Q59">
        <v>36.113652999999999</v>
      </c>
      <c r="R59">
        <v>24.631449</v>
      </c>
      <c r="U59" s="4"/>
      <c r="V59" s="4" t="s">
        <v>97</v>
      </c>
      <c r="W59" s="4" t="s">
        <v>98</v>
      </c>
    </row>
    <row r="60" spans="4:23" ht="15" thickBot="1">
      <c r="K60" s="3" t="s">
        <v>108</v>
      </c>
      <c r="L60" s="3">
        <v>2.109815577833317</v>
      </c>
      <c r="M60" s="3"/>
      <c r="Q60">
        <v>14.655714</v>
      </c>
      <c r="R60">
        <v>20.296095999999999</v>
      </c>
      <c r="U60" t="s">
        <v>99</v>
      </c>
      <c r="V60">
        <v>18.961834148148146</v>
      </c>
      <c r="W60">
        <v>28.455410499999999</v>
      </c>
    </row>
    <row r="61" spans="4:23">
      <c r="Q61">
        <v>22.608398000000001</v>
      </c>
      <c r="U61" t="s">
        <v>100</v>
      </c>
      <c r="V61">
        <v>144.02790603704489</v>
      </c>
      <c r="W61">
        <v>171.30275626533091</v>
      </c>
    </row>
    <row r="62" spans="4:23">
      <c r="D62">
        <v>2.4711409999999998</v>
      </c>
      <c r="E62">
        <v>30.938687999999999</v>
      </c>
      <c r="Q62">
        <v>58.124909000000002</v>
      </c>
      <c r="U62" t="s">
        <v>101</v>
      </c>
      <c r="V62">
        <v>27</v>
      </c>
      <c r="W62">
        <v>20</v>
      </c>
    </row>
    <row r="63" spans="4:23">
      <c r="D63">
        <v>32.033904</v>
      </c>
      <c r="E63">
        <v>34.357607000000002</v>
      </c>
      <c r="Q63">
        <v>23.981276999999999</v>
      </c>
      <c r="U63" t="s">
        <v>102</v>
      </c>
      <c r="V63">
        <v>0</v>
      </c>
    </row>
    <row r="64" spans="4:23">
      <c r="D64">
        <v>31.456980000000001</v>
      </c>
      <c r="E64">
        <v>32.792991000000001</v>
      </c>
      <c r="Q64">
        <v>6.4825799999999996</v>
      </c>
      <c r="U64" t="s">
        <v>103</v>
      </c>
      <c r="V64">
        <v>39</v>
      </c>
    </row>
    <row r="65" spans="4:23">
      <c r="D65">
        <v>38.272494999999999</v>
      </c>
      <c r="E65">
        <v>39.090671999999998</v>
      </c>
      <c r="Q65">
        <v>7.4210529999999997</v>
      </c>
      <c r="U65" t="s">
        <v>104</v>
      </c>
      <c r="V65">
        <v>-2.5464208706143445</v>
      </c>
    </row>
    <row r="66" spans="4:23">
      <c r="D66">
        <v>17.652170000000002</v>
      </c>
      <c r="E66">
        <v>30.456852999999999</v>
      </c>
      <c r="Q66">
        <v>34.287424999999999</v>
      </c>
      <c r="U66" t="s">
        <v>105</v>
      </c>
      <c r="V66">
        <v>7.4723988726281866E-3</v>
      </c>
    </row>
    <row r="67" spans="4:23">
      <c r="D67">
        <v>13.541086</v>
      </c>
      <c r="E67">
        <v>38.751725</v>
      </c>
      <c r="Q67">
        <v>17.930986000000001</v>
      </c>
      <c r="U67" t="s">
        <v>106</v>
      </c>
      <c r="V67">
        <v>1.6848751217112248</v>
      </c>
    </row>
    <row r="68" spans="4:23">
      <c r="D68">
        <v>22.615593000000001</v>
      </c>
      <c r="E68">
        <v>41.354227999999999</v>
      </c>
      <c r="U68" t="s">
        <v>107</v>
      </c>
      <c r="V68">
        <v>1.4944797745256373E-2</v>
      </c>
    </row>
    <row r="69" spans="4:23" ht="15" thickBot="1">
      <c r="D69">
        <v>25.324967000000001</v>
      </c>
      <c r="E69">
        <v>60.294035000000001</v>
      </c>
      <c r="U69" s="3" t="s">
        <v>108</v>
      </c>
      <c r="V69" s="3">
        <v>2.0226909200367595</v>
      </c>
      <c r="W69" s="3"/>
    </row>
    <row r="70" spans="4:23">
      <c r="D70">
        <v>5.3683930000000002</v>
      </c>
      <c r="E70">
        <v>24.631449</v>
      </c>
    </row>
    <row r="71" spans="4:23">
      <c r="D71">
        <v>20.296095999999999</v>
      </c>
      <c r="E71">
        <v>27.407136999999999</v>
      </c>
    </row>
    <row r="73" spans="4:23">
      <c r="D73" t="s">
        <v>116</v>
      </c>
      <c r="E73" t="s">
        <v>117</v>
      </c>
      <c r="F73" t="s">
        <v>118</v>
      </c>
    </row>
    <row r="74" spans="4:23">
      <c r="D74">
        <f>CORREL(D62:D71,E62:E71)</f>
        <v>0.37363996284209972</v>
      </c>
      <c r="E74">
        <f>D74^2</f>
        <v>0.13960682183264567</v>
      </c>
      <c r="F74">
        <v>0.28000000000000003</v>
      </c>
    </row>
    <row r="76" spans="4:23">
      <c r="D76" t="s">
        <v>119</v>
      </c>
    </row>
    <row r="77" spans="4:23" ht="15" thickBot="1"/>
    <row r="78" spans="4:23">
      <c r="D78" s="8" t="s">
        <v>120</v>
      </c>
      <c r="E78" s="8"/>
    </row>
    <row r="79" spans="4:23">
      <c r="D79" t="s">
        <v>121</v>
      </c>
      <c r="E79">
        <v>0.37363996284209949</v>
      </c>
    </row>
    <row r="80" spans="4:23">
      <c r="D80" t="s">
        <v>122</v>
      </c>
      <c r="E80">
        <v>0.1396068218326455</v>
      </c>
    </row>
    <row r="81" spans="4:12">
      <c r="D81" t="s">
        <v>123</v>
      </c>
      <c r="E81">
        <v>3.2057674561726202E-2</v>
      </c>
    </row>
    <row r="82" spans="4:12">
      <c r="D82" t="s">
        <v>124</v>
      </c>
      <c r="E82">
        <v>11.387177956721336</v>
      </c>
    </row>
    <row r="83" spans="4:12" ht="15" thickBot="1">
      <c r="D83" s="3" t="s">
        <v>101</v>
      </c>
      <c r="E83" s="3">
        <v>10</v>
      </c>
    </row>
    <row r="85" spans="4:12" ht="15" thickBot="1">
      <c r="D85" t="s">
        <v>125</v>
      </c>
    </row>
    <row r="86" spans="4:12">
      <c r="D86" s="4"/>
      <c r="E86" s="4" t="s">
        <v>103</v>
      </c>
      <c r="F86" s="4" t="s">
        <v>130</v>
      </c>
      <c r="G86" s="4" t="s">
        <v>131</v>
      </c>
      <c r="H86" s="4" t="s">
        <v>132</v>
      </c>
      <c r="I86" s="4" t="s">
        <v>133</v>
      </c>
    </row>
    <row r="87" spans="4:12">
      <c r="D87" t="s">
        <v>126</v>
      </c>
      <c r="E87">
        <v>1</v>
      </c>
      <c r="F87">
        <v>168.31851258083566</v>
      </c>
      <c r="G87">
        <v>168.31851258083566</v>
      </c>
      <c r="H87">
        <v>1.2980746512194283</v>
      </c>
      <c r="I87">
        <v>0.28752818959490545</v>
      </c>
    </row>
    <row r="88" spans="4:12">
      <c r="D88" t="s">
        <v>127</v>
      </c>
      <c r="E88">
        <v>8</v>
      </c>
      <c r="F88">
        <v>1037.3425745443226</v>
      </c>
      <c r="G88">
        <v>129.66782181804032</v>
      </c>
    </row>
    <row r="89" spans="4:12" ht="15" thickBot="1">
      <c r="D89" s="3" t="s">
        <v>128</v>
      </c>
      <c r="E89" s="3">
        <v>9</v>
      </c>
      <c r="F89" s="3">
        <v>1205.6610871251582</v>
      </c>
      <c r="G89" s="3"/>
      <c r="H89" s="3"/>
      <c r="I89" s="3"/>
    </row>
    <row r="90" spans="4:12" ht="15" thickBot="1"/>
    <row r="91" spans="4:12">
      <c r="D91" s="4"/>
      <c r="E91" s="4" t="s">
        <v>134</v>
      </c>
      <c r="F91" s="4" t="s">
        <v>124</v>
      </c>
      <c r="G91" s="4" t="s">
        <v>104</v>
      </c>
      <c r="H91" s="4" t="s">
        <v>135</v>
      </c>
      <c r="I91" s="4" t="s">
        <v>136</v>
      </c>
      <c r="J91" s="4" t="s">
        <v>137</v>
      </c>
      <c r="K91" s="4" t="s">
        <v>138</v>
      </c>
      <c r="L91" s="4" t="s">
        <v>139</v>
      </c>
    </row>
    <row r="92" spans="4:12">
      <c r="D92" t="s">
        <v>129</v>
      </c>
      <c r="E92">
        <v>5.4036584824827152</v>
      </c>
      <c r="F92">
        <v>14.072654641634324</v>
      </c>
      <c r="G92">
        <v>0.3839828817013563</v>
      </c>
      <c r="H92">
        <v>0.71099559982347749</v>
      </c>
      <c r="I92">
        <v>-27.047941314426151</v>
      </c>
      <c r="J92">
        <v>37.855258279391578</v>
      </c>
      <c r="K92">
        <v>-27.047941314426151</v>
      </c>
      <c r="L92">
        <v>37.855258279391578</v>
      </c>
    </row>
    <row r="93" spans="4:12" ht="15" thickBot="1">
      <c r="D93" s="3" t="s">
        <v>140</v>
      </c>
      <c r="E93" s="3">
        <v>0.43045497313062059</v>
      </c>
      <c r="F93" s="3">
        <v>0.3778138680598595</v>
      </c>
      <c r="G93" s="3">
        <v>1.1393307909555634</v>
      </c>
      <c r="H93" s="3">
        <v>0.28752818959490484</v>
      </c>
      <c r="I93" s="3">
        <v>-0.44078536895289705</v>
      </c>
      <c r="J93" s="3">
        <v>1.3016953152141382</v>
      </c>
      <c r="K93" s="3">
        <v>-0.44078536895289705</v>
      </c>
      <c r="L93" s="3">
        <v>1.3016953152141382</v>
      </c>
    </row>
    <row r="99" spans="4:6">
      <c r="D99" s="9"/>
      <c r="E99" s="9"/>
      <c r="F99" s="9"/>
    </row>
    <row r="116" spans="4:6">
      <c r="D116" s="9"/>
      <c r="E116" s="9"/>
      <c r="F116" s="9"/>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0D31-8144-4D02-A37F-D0BDE3454DA1}">
  <dimension ref="D3:J34"/>
  <sheetViews>
    <sheetView topLeftCell="A5" zoomScale="160" zoomScaleNormal="160" workbookViewId="0">
      <selection activeCell="R13" sqref="R13"/>
    </sheetView>
  </sheetViews>
  <sheetFormatPr defaultRowHeight="14.5"/>
  <sheetData>
    <row r="3" spans="4:6">
      <c r="D3" t="s">
        <v>141</v>
      </c>
      <c r="E3" t="s">
        <v>142</v>
      </c>
    </row>
    <row r="4" spans="4:6">
      <c r="D4" s="2">
        <v>0.147929</v>
      </c>
      <c r="E4" s="2">
        <v>0.49503999999999998</v>
      </c>
    </row>
    <row r="5" spans="4:6">
      <c r="D5" s="2">
        <v>0.85066200000000003</v>
      </c>
      <c r="E5" s="2">
        <v>0.59295100000000001</v>
      </c>
    </row>
    <row r="6" spans="4:6">
      <c r="D6" s="2">
        <v>0.88</v>
      </c>
      <c r="E6" s="2">
        <v>0.25284800000000002</v>
      </c>
    </row>
    <row r="7" spans="4:6">
      <c r="D7" s="2">
        <v>0.921269</v>
      </c>
      <c r="E7" s="2">
        <v>0.39312900000000001</v>
      </c>
    </row>
    <row r="8" spans="4:6">
      <c r="D8" s="2">
        <v>0.60075999999999996</v>
      </c>
      <c r="E8" s="2">
        <v>0.43397799999999997</v>
      </c>
    </row>
    <row r="9" spans="4:6">
      <c r="D9" s="2">
        <v>0.49684200000000001</v>
      </c>
      <c r="E9" s="2">
        <v>0.352771</v>
      </c>
    </row>
    <row r="10" spans="4:6">
      <c r="D10" s="2">
        <v>0.67821100000000001</v>
      </c>
      <c r="E10" s="2">
        <v>0.44958799999999999</v>
      </c>
    </row>
    <row r="11" spans="4:6">
      <c r="D11" s="2">
        <v>0.58125499999999997</v>
      </c>
      <c r="E11" s="2">
        <v>0.63485400000000003</v>
      </c>
    </row>
    <row r="12" spans="4:6">
      <c r="D12" s="2">
        <v>0.30175400000000002</v>
      </c>
      <c r="E12" s="2">
        <v>0.46416099999999999</v>
      </c>
    </row>
    <row r="13" spans="4:6">
      <c r="D13" s="2">
        <v>0.67080700000000004</v>
      </c>
      <c r="E13" s="10"/>
      <c r="F13" s="10"/>
    </row>
    <row r="16" spans="4:6">
      <c r="D16" t="s">
        <v>110</v>
      </c>
    </row>
    <row r="17" spans="4:10" ht="15" thickBot="1"/>
    <row r="18" spans="4:10">
      <c r="D18" s="4"/>
      <c r="E18" s="4" t="s">
        <v>97</v>
      </c>
      <c r="F18" s="4" t="s">
        <v>98</v>
      </c>
    </row>
    <row r="19" spans="4:10">
      <c r="D19" t="s">
        <v>99</v>
      </c>
      <c r="E19">
        <v>0.61294889999999991</v>
      </c>
      <c r="F19">
        <v>0.45214666666666659</v>
      </c>
    </row>
    <row r="20" spans="4:10">
      <c r="D20" t="s">
        <v>100</v>
      </c>
      <c r="E20">
        <v>6.2023494600988945E-2</v>
      </c>
      <c r="F20">
        <v>1.3575903256500044E-2</v>
      </c>
      <c r="H20" s="9"/>
      <c r="I20" s="9"/>
      <c r="J20" s="9"/>
    </row>
    <row r="21" spans="4:10">
      <c r="D21" t="s">
        <v>101</v>
      </c>
      <c r="E21">
        <v>10</v>
      </c>
      <c r="F21">
        <v>9</v>
      </c>
    </row>
    <row r="22" spans="4:10">
      <c r="D22" t="s">
        <v>111</v>
      </c>
      <c r="E22">
        <v>3.9224628085935347E-2</v>
      </c>
    </row>
    <row r="23" spans="4:10">
      <c r="D23" t="s">
        <v>102</v>
      </c>
      <c r="E23">
        <v>0</v>
      </c>
    </row>
    <row r="24" spans="4:10">
      <c r="D24" t="s">
        <v>103</v>
      </c>
      <c r="E24">
        <v>17</v>
      </c>
    </row>
    <row r="25" spans="4:10">
      <c r="D25" t="s">
        <v>104</v>
      </c>
      <c r="E25">
        <v>1.7670836690454677</v>
      </c>
    </row>
    <row r="26" spans="4:10">
      <c r="D26" t="s">
        <v>105</v>
      </c>
      <c r="E26">
        <v>4.758001301771498E-2</v>
      </c>
    </row>
    <row r="27" spans="4:10">
      <c r="D27" t="s">
        <v>106</v>
      </c>
      <c r="E27">
        <v>1.7396067260750732</v>
      </c>
    </row>
    <row r="28" spans="4:10">
      <c r="D28" t="s">
        <v>107</v>
      </c>
      <c r="E28">
        <v>9.5160026035429959E-2</v>
      </c>
    </row>
    <row r="29" spans="4:10" ht="15" thickBot="1">
      <c r="D29" s="3" t="s">
        <v>108</v>
      </c>
      <c r="E29" s="3">
        <v>2.109815577833317</v>
      </c>
      <c r="F29" s="3"/>
    </row>
    <row r="34" spans="7:9">
      <c r="G34" s="9"/>
      <c r="H34" s="9"/>
      <c r="I34"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AEBE-0304-40C9-AD55-B102AE5944DF}">
  <dimension ref="B3:P20"/>
  <sheetViews>
    <sheetView tabSelected="1" zoomScale="145" zoomScaleNormal="145" workbookViewId="0">
      <selection activeCell="F34" sqref="F34"/>
    </sheetView>
  </sheetViews>
  <sheetFormatPr defaultRowHeight="14.5"/>
  <sheetData>
    <row r="3" spans="2:16">
      <c r="B3" t="s">
        <v>91</v>
      </c>
      <c r="C3" t="s">
        <v>149</v>
      </c>
    </row>
    <row r="4" spans="2:16">
      <c r="B4">
        <v>594.36</v>
      </c>
      <c r="C4">
        <v>464.69001100000003</v>
      </c>
    </row>
    <row r="5" spans="2:16">
      <c r="B5">
        <v>501.77777800000001</v>
      </c>
      <c r="C5">
        <v>583.26539500000001</v>
      </c>
    </row>
    <row r="6" spans="2:16">
      <c r="B6">
        <v>528.82102299999997</v>
      </c>
      <c r="C6">
        <v>657.174126</v>
      </c>
    </row>
    <row r="7" spans="2:16">
      <c r="B7">
        <v>466.16581600000001</v>
      </c>
      <c r="C7">
        <v>438.32892800000002</v>
      </c>
      <c r="N7" t="s">
        <v>110</v>
      </c>
    </row>
    <row r="8" spans="2:16" ht="15" thickBot="1">
      <c r="B8">
        <v>592.886076</v>
      </c>
      <c r="C8">
        <v>615.38994200000002</v>
      </c>
    </row>
    <row r="9" spans="2:16">
      <c r="B9">
        <v>479.042373</v>
      </c>
      <c r="C9">
        <v>791.38082399999996</v>
      </c>
      <c r="N9" s="4"/>
      <c r="O9" s="4" t="s">
        <v>97</v>
      </c>
      <c r="P9" s="4" t="s">
        <v>98</v>
      </c>
    </row>
    <row r="10" spans="2:16">
      <c r="B10">
        <v>477.22127699999999</v>
      </c>
      <c r="C10">
        <v>695.81287599999996</v>
      </c>
      <c r="N10" t="s">
        <v>99</v>
      </c>
      <c r="O10">
        <v>500.27759300000008</v>
      </c>
      <c r="P10">
        <v>594.43553344444445</v>
      </c>
    </row>
    <row r="11" spans="2:16">
      <c r="B11">
        <v>331.89349099999998</v>
      </c>
      <c r="C11">
        <v>527.410031</v>
      </c>
      <c r="N11" t="s">
        <v>100</v>
      </c>
      <c r="O11">
        <v>5555.4812917667441</v>
      </c>
      <c r="P11">
        <v>12447.904788325191</v>
      </c>
    </row>
    <row r="12" spans="2:16">
      <c r="B12">
        <v>535.348837</v>
      </c>
      <c r="C12">
        <v>576.467668</v>
      </c>
      <c r="N12" t="s">
        <v>101</v>
      </c>
      <c r="O12">
        <v>10</v>
      </c>
      <c r="P12">
        <v>9</v>
      </c>
    </row>
    <row r="13" spans="2:16">
      <c r="B13">
        <v>495.25925899999999</v>
      </c>
      <c r="N13" t="s">
        <v>111</v>
      </c>
      <c r="O13">
        <v>8798.974701911895</v>
      </c>
    </row>
    <row r="14" spans="2:16">
      <c r="N14" t="s">
        <v>102</v>
      </c>
      <c r="O14">
        <v>0</v>
      </c>
    </row>
    <row r="15" spans="2:16">
      <c r="N15" t="s">
        <v>103</v>
      </c>
      <c r="O15">
        <v>17</v>
      </c>
    </row>
    <row r="16" spans="2:16">
      <c r="N16" t="s">
        <v>104</v>
      </c>
      <c r="O16">
        <v>-2.1846676115030039</v>
      </c>
    </row>
    <row r="17" spans="14:16">
      <c r="N17" t="s">
        <v>105</v>
      </c>
      <c r="O17">
        <v>2.1603458578222112E-2</v>
      </c>
    </row>
    <row r="18" spans="14:16">
      <c r="N18" t="s">
        <v>106</v>
      </c>
      <c r="O18">
        <v>1.7396067260750732</v>
      </c>
    </row>
    <row r="19" spans="14:16">
      <c r="N19" s="11" t="s">
        <v>107</v>
      </c>
      <c r="O19" s="11">
        <v>4.3206917156444202E-2</v>
      </c>
    </row>
    <row r="20" spans="14:16" ht="15" thickBot="1">
      <c r="N20" s="3" t="s">
        <v>108</v>
      </c>
      <c r="O20" s="3">
        <v>2.109815577833317</v>
      </c>
      <c r="P20" s="3"/>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BlinkRateMinute</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Georgiana Cristina Dobre</dc:creator>
  <cp:lastModifiedBy>Georgiana Cristina Dobre</cp:lastModifiedBy>
  <dcterms:created xsi:type="dcterms:W3CDTF">2015-06-05T18:17:20Z</dcterms:created>
  <dcterms:modified xsi:type="dcterms:W3CDTF">2025-01-13T18:20:35Z</dcterms:modified>
</cp:coreProperties>
</file>